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C:\Users\Amadou Sow\OneDrive\Desktop\Files\Amadou's\School\Rosebank College\R.C notes\2nd Year\1st Semester\BMNG6221\2025\Term 1\Submissions\Portfolio of Evidence\"/>
    </mc:Choice>
  </mc:AlternateContent>
  <xr:revisionPtr revIDLastSave="0" documentId="13_ncr:1_{F590DF44-BDBA-4D22-BD27-9369A34EF622}" xr6:coauthVersionLast="47" xr6:coauthVersionMax="47" xr10:uidLastSave="{00000000-0000-0000-0000-000000000000}"/>
  <bookViews>
    <workbookView xWindow="-28920" yWindow="-120" windowWidth="29040" windowHeight="16440" xr2:uid="{1C537AFF-FDF3-9549-AC00-FD318D73656D}"/>
  </bookViews>
  <sheets>
    <sheet name="Multi-step" sheetId="1" r:id="rId1"/>
    <sheet name="Example - Multi-step" sheetId="4" r:id="rId2"/>
    <sheet name="Single-step" sheetId="2" r:id="rId3"/>
    <sheet name="Example - Single-step"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 l="1"/>
  <c r="H43" i="1"/>
  <c r="H47" i="4"/>
  <c r="G47" i="4"/>
  <c r="F47" i="4"/>
  <c r="F23" i="4"/>
  <c r="F49" i="4" s="1"/>
  <c r="F52" i="4" s="1"/>
  <c r="F55" i="4" s="1"/>
  <c r="F62" i="4" s="1"/>
  <c r="H21" i="4"/>
  <c r="H23" i="4" s="1"/>
  <c r="H49" i="4" s="1"/>
  <c r="H52" i="4" s="1"/>
  <c r="H55" i="4" s="1"/>
  <c r="H62" i="4" s="1"/>
  <c r="G21" i="4"/>
  <c r="G23" i="4" s="1"/>
  <c r="G49" i="4" s="1"/>
  <c r="G52" i="4" s="1"/>
  <c r="G55" i="4" s="1"/>
  <c r="G62" i="4" s="1"/>
  <c r="F21" i="4"/>
  <c r="H13" i="4"/>
  <c r="G13" i="4"/>
  <c r="F13" i="4"/>
  <c r="G41" i="3"/>
  <c r="G44" i="3" s="1"/>
  <c r="G51" i="3" s="1"/>
  <c r="F41" i="3"/>
  <c r="F44" i="3" s="1"/>
  <c r="F51" i="3" s="1"/>
  <c r="H39" i="3"/>
  <c r="G39" i="3"/>
  <c r="F39" i="3"/>
  <c r="H14" i="3"/>
  <c r="H41" i="3" s="1"/>
  <c r="H44" i="3" s="1"/>
  <c r="H51" i="3" s="1"/>
  <c r="G14" i="3"/>
  <c r="F14" i="3"/>
  <c r="H21" i="1"/>
  <c r="G14" i="2"/>
  <c r="G39" i="2"/>
  <c r="H14" i="2"/>
  <c r="H39" i="2"/>
  <c r="F14" i="2"/>
  <c r="F39" i="2"/>
  <c r="H23" i="1" l="1"/>
  <c r="H41" i="2"/>
  <c r="H44" i="2" s="1"/>
  <c r="H51" i="2" s="1"/>
  <c r="G41" i="2"/>
  <c r="G44" i="2" s="1"/>
  <c r="G51" i="2" s="1"/>
  <c r="F41" i="2"/>
  <c r="F44" i="2" s="1"/>
  <c r="F51" i="2" s="1"/>
</calcChain>
</file>

<file path=xl/sharedStrings.xml><?xml version="1.0" encoding="utf-8"?>
<sst xmlns="http://schemas.openxmlformats.org/spreadsheetml/2006/main" count="176" uniqueCount="74">
  <si>
    <t>Revenue</t>
  </si>
  <si>
    <t>Cost of Goods Sold</t>
  </si>
  <si>
    <t>Overhead</t>
  </si>
  <si>
    <t>Total Cost of Goods Sold</t>
  </si>
  <si>
    <t>Materials</t>
  </si>
  <si>
    <t>Labor</t>
  </si>
  <si>
    <t>Operating Expenses</t>
  </si>
  <si>
    <t>Delivery/Freight Expense</t>
  </si>
  <si>
    <t>Insurance</t>
  </si>
  <si>
    <t>Interest</t>
  </si>
  <si>
    <t>Mileage</t>
  </si>
  <si>
    <t>Office Supplies</t>
  </si>
  <si>
    <t>Rent/Lease</t>
  </si>
  <si>
    <t>Maintenance and Repairs</t>
  </si>
  <si>
    <t>Travel</t>
  </si>
  <si>
    <t>Utilities/Telephone Expenses</t>
  </si>
  <si>
    <t>Other Expenses</t>
  </si>
  <si>
    <t>Advertising and Promotion</t>
  </si>
  <si>
    <t>Bank Service Charges</t>
  </si>
  <si>
    <t>Computer and Internet</t>
  </si>
  <si>
    <t>Payroll Processing</t>
  </si>
  <si>
    <t>Postage and Delivery</t>
  </si>
  <si>
    <t>Below-the-Line Items</t>
  </si>
  <si>
    <t>Total operating Expenses</t>
  </si>
  <si>
    <t xml:space="preserve">Income From Continuing Operations	</t>
  </si>
  <si>
    <t>Income statement</t>
  </si>
  <si>
    <t>Professional Services</t>
  </si>
  <si>
    <t>Bad Debt</t>
  </si>
  <si>
    <t>Furniture and Equipment</t>
  </si>
  <si>
    <t>Research and Development</t>
  </si>
  <si>
    <t>Salaries, Benefits and Wages</t>
  </si>
  <si>
    <t>Depreciation and Amortization</t>
  </si>
  <si>
    <t>Total Operating Expenses</t>
  </si>
  <si>
    <t>Net Income Before Taxes</t>
  </si>
  <si>
    <t>Income Tax Expense</t>
  </si>
  <si>
    <t>Income From Discontinued Operations</t>
  </si>
  <si>
    <t>Effect of Accounting Changes</t>
  </si>
  <si>
    <t>Extraordinary Items</t>
  </si>
  <si>
    <t>Gross Sales</t>
  </si>
  <si>
    <t>Returns, Refunds and Allowances</t>
  </si>
  <si>
    <t>Service Revenue</t>
  </si>
  <si>
    <t>Interest Revenue</t>
  </si>
  <si>
    <t>Other Revenue</t>
  </si>
  <si>
    <t>Total Net Revenue</t>
  </si>
  <si>
    <t>Net Income</t>
  </si>
  <si>
    <t>Goods Purchased</t>
  </si>
  <si>
    <t>Gross Profit</t>
  </si>
  <si>
    <t>Non-Operating Revenues and Expenses</t>
  </si>
  <si>
    <t>(Less Interest Expense)</t>
  </si>
  <si>
    <t>(Less Income Tax Expense)</t>
  </si>
  <si>
    <t>Income Before Taxes (EBT)</t>
  </si>
  <si>
    <t>Operating Income (Loss) EBIT</t>
  </si>
  <si>
    <t>31 December 2023</t>
  </si>
  <si>
    <t>Best Firm LLC</t>
  </si>
  <si>
    <t>Best Production LLC</t>
  </si>
  <si>
    <t>How to use the Income statement template</t>
  </si>
  <si>
    <t>This is the single-step income statement template</t>
  </si>
  <si>
    <t xml:space="preserve">
1. Select a reporting period
At the top of the statement, input the year, quarter, or month period to compare. Copy and paste the column for additional periods.
2. Input revenue
Input all revenue and sales. You can prepare a statement just for one area or product. Returns, Refunds and Allowances are input as a negative number.
3. Input Cost of goods sold
On the multi-step income statement, input the COGS divided into purchases, materials, labor and overhead related to the direct production of goods.
4. Input incoem from non-operating revenues and expenses.
Income from investments, rental income, or gains from the sale of assets not used in the main line of business, interest paid on debt, losses from lawsuits, or losses on the disposal of assets, events such as the sale of investment securities or real estate, foreign exchange differences, or restructuring costs. 
5. Input Below-The-Line items:
• Income From Discontinued Operations input any goods or services that were discontinued during the accounting period and will cease to provide income moving forward.
• Effect of Accounting Changes input any changes in accounting policy or tax laws during the period.
• Extraordinary Items input any other irregular items such as paying a penalty to exit a contract.
Read more here: https://www.sage.com/en-us/blog/</t>
  </si>
  <si>
    <t>A simple one-step equation best for smaller companies</t>
  </si>
  <si>
    <t>Only input in the grey boxes</t>
  </si>
  <si>
    <t>Read more here: https://www.sage.com/en-us/blog/income-statement-template/</t>
  </si>
  <si>
    <t>1. Select a reporting period
At the top of the statement, input the year, quarter, or month period to compare. Copy and paste the column for additional periods.
2. Input revenue
Input all revenue and sales into the appropriate row and delete as necessary for sales, services, or interest. Returns, refunds and allowances are input as a negative number.
3. Input operating expenses input all expenses into the relevant categories. You can add extra rows or rename rows as needed.
4. Input Below-The-Line items in the following fields:
• Income From Discontinued Operations input any goods or services that were discontinued during the accounting period and will cease to provide income moving forward.
• Effect of Accounting Changes input any changes in accounting policy or tax laws during the period.
• Extraordinary Items input any other irregular items such as paying a penalty to exit a contract.</t>
  </si>
  <si>
    <t>(Malik, 2024)</t>
  </si>
  <si>
    <t>STORE2DOOR (Pty) Ltd.</t>
  </si>
  <si>
    <t>For the year ended 28 February 2026</t>
  </si>
  <si>
    <t>Office Rent</t>
  </si>
  <si>
    <t>Vehicle rent</t>
  </si>
  <si>
    <t>Driver renumeration</t>
  </si>
  <si>
    <t>Driver comission</t>
  </si>
  <si>
    <t>Miscellaneous expenses</t>
  </si>
  <si>
    <t>Website development</t>
  </si>
  <si>
    <t>Office Supplies and furniture</t>
  </si>
  <si>
    <t xml:space="preserve">(684591.88) </t>
  </si>
  <si>
    <t>1760379.12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</si>
</sst>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14" x14ac:knownFonts="1">
    <font>
      <sz val="12"/>
      <color theme="1"/>
      <name val="Aptos Narrow"/>
      <family val="2"/>
      <scheme val="minor"/>
    </font>
    <font>
      <sz val="11"/>
      <color theme="1"/>
      <name val="Arial"/>
      <family val="2"/>
    </font>
    <font>
      <b/>
      <sz val="12"/>
      <color theme="1"/>
      <name val="Aptos Narrow"/>
      <family val="2"/>
      <scheme val="minor"/>
    </font>
    <font>
      <sz val="11"/>
      <color theme="1"/>
      <name val="Aptos Narrow"/>
      <family val="2"/>
      <scheme val="minor"/>
    </font>
    <font>
      <sz val="12"/>
      <color theme="1"/>
      <name val="Aptos Narrow"/>
      <family val="2"/>
      <scheme val="minor"/>
    </font>
    <font>
      <sz val="20"/>
      <color theme="1"/>
      <name val="Aptos Narrow"/>
      <family val="2"/>
      <scheme val="minor"/>
    </font>
    <font>
      <sz val="14"/>
      <color theme="1"/>
      <name val="Aptos Narrow"/>
      <family val="2"/>
      <scheme val="minor"/>
    </font>
    <font>
      <sz val="12"/>
      <color theme="9" tint="0.39997558519241921"/>
      <name val="Aptos Narrow"/>
      <family val="2"/>
      <scheme val="minor"/>
    </font>
    <font>
      <sz val="18"/>
      <color theme="1"/>
      <name val="Aptos Narrow"/>
      <family val="2"/>
      <scheme val="minor"/>
    </font>
    <font>
      <b/>
      <sz val="28"/>
      <color rgb="FF00D639"/>
      <name val="Aptos Narrow"/>
      <family val="2"/>
      <scheme val="minor"/>
    </font>
    <font>
      <b/>
      <sz val="14"/>
      <color rgb="FF00D639"/>
      <name val="Aptos Narrow"/>
    </font>
    <font>
      <b/>
      <sz val="12"/>
      <color rgb="FF00D639"/>
      <name val="Aptos Narrow"/>
      <family val="2"/>
      <scheme val="minor"/>
    </font>
    <font>
      <sz val="18"/>
      <color rgb="FF00D639"/>
      <name val="Aptos Narrow"/>
      <family val="2"/>
      <scheme val="minor"/>
    </font>
    <font>
      <u/>
      <sz val="12"/>
      <color theme="10"/>
      <name val="Aptos Narrow"/>
      <family val="2"/>
      <scheme val="minor"/>
    </font>
  </fonts>
  <fills count="8">
    <fill>
      <patternFill patternType="none"/>
    </fill>
    <fill>
      <patternFill patternType="gray125"/>
    </fill>
    <fill>
      <patternFill patternType="solid">
        <fgColor theme="4" tint="0.59999389629810485"/>
        <bgColor indexed="65"/>
      </patternFill>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F2FEF7"/>
        <bgColor indexed="64"/>
      </patternFill>
    </fill>
    <fill>
      <patternFill patternType="solid">
        <fgColor rgb="FFF0F0F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1"/>
      </top>
      <bottom style="thin">
        <color theme="1"/>
      </bottom>
      <diagonal/>
    </border>
    <border>
      <left/>
      <right/>
      <top/>
      <bottom style="medium">
        <color theme="1"/>
      </bottom>
      <diagonal/>
    </border>
    <border>
      <left/>
      <right/>
      <top style="thin">
        <color theme="1"/>
      </top>
      <bottom style="medium">
        <color theme="1"/>
      </bottom>
      <diagonal/>
    </border>
    <border>
      <left style="thin">
        <color theme="0"/>
      </left>
      <right style="thin">
        <color theme="0"/>
      </right>
      <top style="thin">
        <color theme="0"/>
      </top>
      <bottom/>
      <diagonal/>
    </border>
    <border>
      <left/>
      <right/>
      <top style="thin">
        <color auto="1"/>
      </top>
      <bottom/>
      <diagonal/>
    </border>
    <border>
      <left style="thin">
        <color theme="0"/>
      </left>
      <right style="thin">
        <color theme="0"/>
      </right>
      <top style="thin">
        <color auto="1"/>
      </top>
      <bottom style="thin">
        <color theme="0"/>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s>
  <cellStyleXfs count="4">
    <xf numFmtId="0" fontId="0" fillId="0" borderId="0"/>
    <xf numFmtId="0" fontId="1" fillId="0" borderId="0"/>
    <xf numFmtId="0" fontId="3" fillId="2" borderId="0" applyNumberFormat="0" applyBorder="0" applyAlignment="0" applyProtection="0"/>
    <xf numFmtId="0" fontId="13" fillId="0" borderId="0" applyNumberFormat="0" applyFill="0" applyBorder="0" applyAlignment="0" applyProtection="0"/>
  </cellStyleXfs>
  <cellXfs count="63">
    <xf numFmtId="0" fontId="0" fillId="0" borderId="0" xfId="0"/>
    <xf numFmtId="0" fontId="4" fillId="0" borderId="0" xfId="0" applyFont="1"/>
    <xf numFmtId="0" fontId="0" fillId="0" borderId="0" xfId="0" applyAlignment="1">
      <alignment vertical="center"/>
    </xf>
    <xf numFmtId="0" fontId="0" fillId="4" borderId="4" xfId="0" applyFill="1" applyBorder="1" applyAlignment="1">
      <alignment vertical="center"/>
    </xf>
    <xf numFmtId="0" fontId="0" fillId="0" borderId="3" xfId="0" applyBorder="1" applyAlignment="1">
      <alignment vertical="center"/>
    </xf>
    <xf numFmtId="0" fontId="4" fillId="0" borderId="0" xfId="0" applyFont="1" applyAlignment="1">
      <alignment vertical="center"/>
    </xf>
    <xf numFmtId="0" fontId="2" fillId="3" borderId="0" xfId="0" applyFont="1" applyFill="1" applyAlignment="1">
      <alignment horizontal="center" vertical="center"/>
    </xf>
    <xf numFmtId="164" fontId="0" fillId="3" borderId="2" xfId="0" applyNumberFormat="1" applyFill="1" applyBorder="1" applyAlignment="1">
      <alignment vertical="center"/>
    </xf>
    <xf numFmtId="164" fontId="0" fillId="3" borderId="1" xfId="0" applyNumberFormat="1" applyFill="1" applyBorder="1" applyAlignment="1">
      <alignment vertical="center"/>
    </xf>
    <xf numFmtId="164" fontId="0" fillId="0" borderId="0" xfId="0" applyNumberFormat="1" applyAlignment="1">
      <alignment vertical="center"/>
    </xf>
    <xf numFmtId="164" fontId="0" fillId="4" borderId="4" xfId="0" applyNumberFormat="1" applyFill="1" applyBorder="1" applyAlignment="1">
      <alignment vertical="center"/>
    </xf>
    <xf numFmtId="164" fontId="4" fillId="0" borderId="0" xfId="0" applyNumberFormat="1" applyFont="1" applyAlignment="1">
      <alignment vertical="center"/>
    </xf>
    <xf numFmtId="164" fontId="4" fillId="4" borderId="4" xfId="0" applyNumberFormat="1" applyFont="1" applyFill="1" applyBorder="1" applyAlignment="1">
      <alignment vertical="center"/>
    </xf>
    <xf numFmtId="0" fontId="5" fillId="0" borderId="0" xfId="0" applyFont="1" applyAlignment="1">
      <alignment horizontal="right"/>
    </xf>
    <xf numFmtId="0" fontId="0" fillId="0" borderId="7" xfId="0" applyBorder="1" applyAlignment="1">
      <alignment vertical="center"/>
    </xf>
    <xf numFmtId="0" fontId="0" fillId="4" borderId="2" xfId="0" applyFill="1" applyBorder="1" applyAlignment="1">
      <alignment horizontal="left" vertical="center" indent="1"/>
    </xf>
    <xf numFmtId="0" fontId="0" fillId="4" borderId="1" xfId="0" applyFill="1" applyBorder="1" applyAlignment="1">
      <alignment horizontal="left" vertical="center" indent="1"/>
    </xf>
    <xf numFmtId="0" fontId="0" fillId="4" borderId="6" xfId="0" applyFill="1" applyBorder="1" applyAlignment="1">
      <alignment horizontal="left" vertical="center" indent="1"/>
    </xf>
    <xf numFmtId="0" fontId="0" fillId="4" borderId="8" xfId="0" applyFill="1" applyBorder="1" applyAlignment="1">
      <alignment horizontal="left" vertical="center" indent="1"/>
    </xf>
    <xf numFmtId="164" fontId="0" fillId="4" borderId="3" xfId="0" applyNumberFormat="1" applyFill="1" applyBorder="1" applyAlignment="1">
      <alignment vertical="center"/>
    </xf>
    <xf numFmtId="164" fontId="0" fillId="4" borderId="8" xfId="0" applyNumberFormat="1" applyFill="1" applyBorder="1" applyAlignment="1">
      <alignment vertical="center"/>
    </xf>
    <xf numFmtId="0" fontId="7" fillId="0" borderId="0" xfId="0" applyFont="1"/>
    <xf numFmtId="164" fontId="0" fillId="7" borderId="2" xfId="0" applyNumberFormat="1" applyFill="1" applyBorder="1" applyAlignment="1">
      <alignment vertical="center"/>
    </xf>
    <xf numFmtId="164" fontId="0" fillId="7" borderId="1" xfId="0" applyNumberFormat="1" applyFill="1" applyBorder="1" applyAlignment="1">
      <alignment vertical="center"/>
    </xf>
    <xf numFmtId="164" fontId="0" fillId="7" borderId="0" xfId="0" applyNumberFormat="1" applyFill="1" applyAlignment="1">
      <alignment vertical="center"/>
    </xf>
    <xf numFmtId="164" fontId="0" fillId="7" borderId="6" xfId="0" applyNumberFormat="1" applyFill="1" applyBorder="1" applyAlignment="1">
      <alignment vertical="center"/>
    </xf>
    <xf numFmtId="0" fontId="0" fillId="7" borderId="0" xfId="0" applyFill="1"/>
    <xf numFmtId="0" fontId="0" fillId="7" borderId="0" xfId="0" applyFill="1" applyAlignment="1">
      <alignment vertical="center"/>
    </xf>
    <xf numFmtId="0" fontId="4" fillId="7" borderId="0" xfId="0" applyFont="1" applyFill="1" applyAlignment="1">
      <alignment vertical="center"/>
    </xf>
    <xf numFmtId="0" fontId="4" fillId="7" borderId="0" xfId="0" applyFont="1" applyFill="1"/>
    <xf numFmtId="0" fontId="7" fillId="7" borderId="0" xfId="0" applyFont="1" applyFill="1"/>
    <xf numFmtId="0" fontId="0" fillId="0" borderId="2" xfId="0" applyBorder="1" applyAlignment="1">
      <alignment horizontal="left" vertical="center" indent="1"/>
    </xf>
    <xf numFmtId="0" fontId="0" fillId="0" borderId="1" xfId="0" applyBorder="1" applyAlignment="1">
      <alignment horizontal="left" vertical="center" indent="1"/>
    </xf>
    <xf numFmtId="164" fontId="0" fillId="0" borderId="3" xfId="0" applyNumberFormat="1" applyBorder="1" applyAlignment="1">
      <alignment vertical="center"/>
    </xf>
    <xf numFmtId="0" fontId="4" fillId="0" borderId="5" xfId="0" applyFont="1" applyBorder="1" applyAlignment="1">
      <alignment vertical="center"/>
    </xf>
    <xf numFmtId="0" fontId="8" fillId="0" borderId="0" xfId="0" quotePrefix="1" applyFont="1"/>
    <xf numFmtId="0" fontId="9" fillId="0" borderId="0" xfId="0" applyFont="1"/>
    <xf numFmtId="164" fontId="4" fillId="6" borderId="5" xfId="0" applyNumberFormat="1" applyFont="1" applyFill="1" applyBorder="1" applyAlignment="1">
      <alignment vertical="center"/>
    </xf>
    <xf numFmtId="0" fontId="4" fillId="4" borderId="10" xfId="0" applyFont="1" applyFill="1" applyBorder="1" applyAlignment="1">
      <alignment vertical="center"/>
    </xf>
    <xf numFmtId="164" fontId="0" fillId="4" borderId="9" xfId="0" applyNumberFormat="1" applyFill="1" applyBorder="1" applyAlignment="1">
      <alignment vertical="center"/>
    </xf>
    <xf numFmtId="0" fontId="11" fillId="0" borderId="3" xfId="0" applyFont="1" applyBorder="1" applyAlignment="1">
      <alignment vertical="center"/>
    </xf>
    <xf numFmtId="0" fontId="11" fillId="4" borderId="3" xfId="0" applyFont="1" applyFill="1" applyBorder="1" applyAlignment="1">
      <alignment vertical="center"/>
    </xf>
    <xf numFmtId="0" fontId="0" fillId="7" borderId="0" xfId="0" applyFill="1" applyAlignment="1">
      <alignment horizontal="left" vertical="top" wrapText="1"/>
    </xf>
    <xf numFmtId="0" fontId="0" fillId="7" borderId="9" xfId="0" applyFill="1" applyBorder="1" applyAlignment="1">
      <alignment horizontal="left" vertical="top" wrapText="1"/>
    </xf>
    <xf numFmtId="0" fontId="0" fillId="7" borderId="9" xfId="0" applyFill="1" applyBorder="1" applyAlignment="1">
      <alignment vertical="top" wrapText="1"/>
    </xf>
    <xf numFmtId="0" fontId="0" fillId="7" borderId="0" xfId="0" applyFill="1" applyAlignment="1">
      <alignment vertical="top" wrapText="1"/>
    </xf>
    <xf numFmtId="0" fontId="0" fillId="7" borderId="11" xfId="0" applyFill="1" applyBorder="1" applyAlignment="1">
      <alignment horizontal="center" vertical="top" wrapText="1"/>
    </xf>
    <xf numFmtId="0" fontId="0" fillId="7" borderId="0" xfId="0" applyFill="1" applyAlignment="1">
      <alignment horizontal="center" vertical="top" wrapText="1"/>
    </xf>
    <xf numFmtId="0" fontId="0" fillId="7" borderId="0" xfId="0" applyFill="1" applyAlignment="1">
      <alignment horizontal="left" vertical="center" wrapText="1"/>
    </xf>
    <xf numFmtId="0" fontId="12" fillId="7" borderId="0" xfId="0" applyFont="1" applyFill="1"/>
    <xf numFmtId="0" fontId="12" fillId="7" borderId="0" xfId="0" applyFont="1" applyFill="1" applyAlignment="1">
      <alignment horizontal="left" wrapText="1"/>
    </xf>
    <xf numFmtId="0" fontId="12" fillId="7" borderId="0" xfId="0" applyFont="1" applyFill="1" applyAlignment="1">
      <alignment horizontal="left" wrapText="1"/>
    </xf>
    <xf numFmtId="0" fontId="6" fillId="7" borderId="0" xfId="0" applyFont="1" applyFill="1" applyAlignment="1">
      <alignment horizontal="left" vertical="top" wrapText="1"/>
    </xf>
    <xf numFmtId="0" fontId="0" fillId="7" borderId="0" xfId="0" applyFill="1" applyAlignment="1">
      <alignment horizontal="left" vertical="top" wrapText="1"/>
    </xf>
    <xf numFmtId="0" fontId="13" fillId="7" borderId="0" xfId="3" applyFill="1" applyAlignment="1">
      <alignment horizontal="left" vertical="top" wrapText="1"/>
    </xf>
    <xf numFmtId="0" fontId="13" fillId="7" borderId="9" xfId="3" applyFill="1" applyBorder="1" applyAlignment="1">
      <alignment horizontal="left" vertical="top" wrapText="1"/>
    </xf>
    <xf numFmtId="0" fontId="10" fillId="4" borderId="10" xfId="0" applyFont="1" applyFill="1" applyBorder="1" applyAlignment="1">
      <alignment horizontal="left" vertical="center" indent="1"/>
    </xf>
    <xf numFmtId="0" fontId="4" fillId="5" borderId="0" xfId="0" applyFont="1" applyFill="1" applyAlignment="1">
      <alignment horizontal="center"/>
    </xf>
    <xf numFmtId="0" fontId="10" fillId="4" borderId="9" xfId="0" applyFont="1" applyFill="1" applyBorder="1" applyAlignment="1">
      <alignment horizontal="left" vertical="center" indent="1"/>
    </xf>
    <xf numFmtId="0" fontId="0" fillId="7" borderId="11" xfId="0" applyFill="1" applyBorder="1" applyAlignment="1">
      <alignment horizontal="left" vertical="top" wrapText="1"/>
    </xf>
    <xf numFmtId="0" fontId="0" fillId="7" borderId="0" xfId="0" applyFill="1" applyBorder="1" applyAlignment="1">
      <alignment horizontal="left" vertical="top" wrapText="1"/>
    </xf>
    <xf numFmtId="0" fontId="0" fillId="3" borderId="0" xfId="0" applyFont="1" applyFill="1" applyAlignment="1">
      <alignment horizontal="center" vertical="center"/>
    </xf>
    <xf numFmtId="2" fontId="0" fillId="0" borderId="0" xfId="0" applyNumberFormat="1" applyAlignment="1">
      <alignment vertical="center"/>
    </xf>
  </cellXfs>
  <cellStyles count="4">
    <cellStyle name="40% - Accent1 2" xfId="2" xr:uid="{21237D31-83C4-8D4D-8B43-D6771DBDF921}"/>
    <cellStyle name="Hyperlink" xfId="3" builtinId="8"/>
    <cellStyle name="Normal" xfId="0" builtinId="0"/>
    <cellStyle name="Normal 2" xfId="1" xr:uid="{CF25968E-B3BC-7B4F-BC0B-53D647E86B78}"/>
  </cellStyles>
  <dxfs count="0"/>
  <tableStyles count="0" defaultTableStyle="TableStyleMedium2" defaultPivotStyle="PivotStyleLight16"/>
  <colors>
    <mruColors>
      <color rgb="FFF0F0F0"/>
      <color rgb="FFF2FEF7"/>
      <color rgb="FF00D6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age.com/en-us/blog/income-statement-template/"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age.com/en-us/blog/income-statement-template/"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age.com/en-us/blog/income-statement-template/"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age.com/en-us/blog/income-statement-template/"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127000</xdr:colOff>
      <xdr:row>63</xdr:row>
      <xdr:rowOff>139700</xdr:rowOff>
    </xdr:from>
    <xdr:to>
      <xdr:col>7</xdr:col>
      <xdr:colOff>1428048</xdr:colOff>
      <xdr:row>67</xdr:row>
      <xdr:rowOff>58740</xdr:rowOff>
    </xdr:to>
    <xdr:pic>
      <xdr:nvPicPr>
        <xdr:cNvPr id="3" name="Picture 2">
          <a:hlinkClick xmlns:r="http://schemas.openxmlformats.org/officeDocument/2006/relationships" r:id="rId1"/>
          <a:extLst>
            <a:ext uri="{FF2B5EF4-FFF2-40B4-BE49-F238E27FC236}">
              <a16:creationId xmlns:a16="http://schemas.microsoft.com/office/drawing/2014/main" id="{EBC389D5-7D7C-34EF-7EBC-59FC087B5F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85100" y="16522700"/>
          <a:ext cx="1301048" cy="731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127000</xdr:colOff>
      <xdr:row>63</xdr:row>
      <xdr:rowOff>139700</xdr:rowOff>
    </xdr:from>
    <xdr:to>
      <xdr:col>7</xdr:col>
      <xdr:colOff>1428048</xdr:colOff>
      <xdr:row>67</xdr:row>
      <xdr:rowOff>58740</xdr:rowOff>
    </xdr:to>
    <xdr:pic>
      <xdr:nvPicPr>
        <xdr:cNvPr id="2" name="Picture 1">
          <a:hlinkClick xmlns:r="http://schemas.openxmlformats.org/officeDocument/2006/relationships" r:id="rId1"/>
          <a:extLst>
            <a:ext uri="{FF2B5EF4-FFF2-40B4-BE49-F238E27FC236}">
              <a16:creationId xmlns:a16="http://schemas.microsoft.com/office/drawing/2014/main" id="{56167225-4254-D04F-AE07-805B2A68DC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4300" y="17335500"/>
          <a:ext cx="1301048" cy="7318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127000</xdr:colOff>
      <xdr:row>52</xdr:row>
      <xdr:rowOff>139700</xdr:rowOff>
    </xdr:from>
    <xdr:to>
      <xdr:col>7</xdr:col>
      <xdr:colOff>1428048</xdr:colOff>
      <xdr:row>56</xdr:row>
      <xdr:rowOff>58740</xdr:rowOff>
    </xdr:to>
    <xdr:pic>
      <xdr:nvPicPr>
        <xdr:cNvPr id="3" name="Picture 2">
          <a:hlinkClick xmlns:r="http://schemas.openxmlformats.org/officeDocument/2006/relationships" r:id="rId1"/>
          <a:extLst>
            <a:ext uri="{FF2B5EF4-FFF2-40B4-BE49-F238E27FC236}">
              <a16:creationId xmlns:a16="http://schemas.microsoft.com/office/drawing/2014/main" id="{C8F379F2-F771-C64C-B5EE-38C5613F01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4300" y="17208500"/>
          <a:ext cx="1301048" cy="731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127000</xdr:colOff>
      <xdr:row>52</xdr:row>
      <xdr:rowOff>139700</xdr:rowOff>
    </xdr:from>
    <xdr:to>
      <xdr:col>7</xdr:col>
      <xdr:colOff>1428048</xdr:colOff>
      <xdr:row>56</xdr:row>
      <xdr:rowOff>58740</xdr:rowOff>
    </xdr:to>
    <xdr:pic>
      <xdr:nvPicPr>
        <xdr:cNvPr id="2" name="Picture 1">
          <a:hlinkClick xmlns:r="http://schemas.openxmlformats.org/officeDocument/2006/relationships" r:id="rId1"/>
          <a:extLst>
            <a:ext uri="{FF2B5EF4-FFF2-40B4-BE49-F238E27FC236}">
              <a16:creationId xmlns:a16="http://schemas.microsoft.com/office/drawing/2014/main" id="{A3142FFC-955D-3E44-81F4-677C07AF66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4300" y="14338300"/>
          <a:ext cx="1301048" cy="7318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sage.com/en-us/blog/income-statement-templat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4094-8E4E-DA4C-9A00-02A27E3F77E7}">
  <sheetPr codeName="Sheet2"/>
  <dimension ref="A1:CT993"/>
  <sheetViews>
    <sheetView showGridLines="0" tabSelected="1" zoomScale="70" zoomScaleNormal="70" workbookViewId="0">
      <pane ySplit="7" topLeftCell="A12" activePane="bottomLeft" state="frozen"/>
      <selection pane="bottomLeft" activeCell="Q18" sqref="Q18"/>
    </sheetView>
  </sheetViews>
  <sheetFormatPr defaultColWidth="11" defaultRowHeight="15.75" x14ac:dyDescent="0.25"/>
  <cols>
    <col min="1" max="1" width="20.875" style="26" customWidth="1"/>
    <col min="2" max="2" width="5.875" customWidth="1"/>
    <col min="3" max="3" width="2.875" customWidth="1"/>
    <col min="4" max="4" width="41.5" bestFit="1" customWidth="1"/>
    <col min="5" max="5" width="3.875" customWidth="1"/>
    <col min="6" max="6" width="21.375" customWidth="1"/>
    <col min="7" max="7" width="10.75" customWidth="1"/>
    <col min="8" max="8" width="20.875" customWidth="1"/>
    <col min="9" max="9" width="5.875" customWidth="1"/>
    <col min="10" max="10" width="3" style="26" customWidth="1"/>
    <col min="11" max="15" width="11" style="26" customWidth="1"/>
    <col min="16" max="97" width="11" style="26"/>
  </cols>
  <sheetData>
    <row r="1" spans="1:98" s="26" customFormat="1" ht="39.950000000000003" customHeight="1" x14ac:dyDescent="0.25">
      <c r="C1" s="30"/>
      <c r="D1" s="30"/>
      <c r="E1" s="30"/>
      <c r="F1" s="30"/>
      <c r="G1" s="30"/>
      <c r="H1" s="30"/>
    </row>
    <row r="2" spans="1:98" ht="24.95" customHeight="1" x14ac:dyDescent="0.4">
      <c r="K2" s="51" t="s">
        <v>62</v>
      </c>
      <c r="L2" s="51"/>
      <c r="M2" s="51"/>
      <c r="N2" s="51"/>
      <c r="O2" s="51"/>
      <c r="CT2" s="26"/>
    </row>
    <row r="3" spans="1:98" ht="36.950000000000003" customHeight="1" x14ac:dyDescent="0.55000000000000004">
      <c r="D3" s="36" t="s">
        <v>25</v>
      </c>
      <c r="H3" s="13" t="s">
        <v>63</v>
      </c>
      <c r="K3" s="52"/>
      <c r="L3" s="52"/>
      <c r="M3" s="52"/>
      <c r="N3" s="52"/>
      <c r="O3" s="52"/>
      <c r="CT3" s="26"/>
    </row>
    <row r="4" spans="1:98" ht="24" x14ac:dyDescent="0.4">
      <c r="D4" s="35" t="s">
        <v>64</v>
      </c>
      <c r="K4" s="52"/>
      <c r="L4" s="52"/>
      <c r="M4" s="52"/>
      <c r="N4" s="52"/>
      <c r="O4" s="52"/>
      <c r="CT4" s="26"/>
    </row>
    <row r="5" spans="1:98" x14ac:dyDescent="0.25">
      <c r="CT5" s="26"/>
    </row>
    <row r="6" spans="1:98" ht="24" x14ac:dyDescent="0.4">
      <c r="C6" s="21"/>
      <c r="D6" s="21"/>
      <c r="E6" s="21"/>
      <c r="F6" s="21"/>
      <c r="G6" s="21"/>
      <c r="H6" s="21"/>
      <c r="I6" s="2"/>
      <c r="J6" s="27"/>
      <c r="K6" s="49"/>
    </row>
    <row r="7" spans="1:98" s="2" customFormat="1" ht="24.95" customHeight="1" x14ac:dyDescent="0.25">
      <c r="A7" s="27"/>
      <c r="F7" s="6"/>
      <c r="G7" s="61"/>
      <c r="H7" s="6">
        <v>2026</v>
      </c>
      <c r="J7" s="27"/>
      <c r="K7" s="26"/>
      <c r="L7" s="26"/>
      <c r="M7" s="26"/>
      <c r="N7" s="26"/>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row>
    <row r="8" spans="1:98" s="2" customFormat="1" ht="24.95" customHeight="1" thickBot="1" x14ac:dyDescent="0.3">
      <c r="A8" s="27"/>
      <c r="C8" s="58" t="s">
        <v>0</v>
      </c>
      <c r="D8" s="58"/>
      <c r="E8" s="58"/>
      <c r="F8" s="10"/>
      <c r="G8" s="61"/>
      <c r="H8" s="10"/>
      <c r="J8" s="27"/>
      <c r="K8" s="48"/>
      <c r="L8" s="48"/>
      <c r="M8" s="48"/>
      <c r="N8" s="48"/>
      <c r="O8" s="48"/>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row>
    <row r="9" spans="1:98" s="2" customFormat="1" ht="20.100000000000001" customHeight="1" x14ac:dyDescent="0.4">
      <c r="A9" s="27"/>
      <c r="D9" s="15" t="s">
        <v>38</v>
      </c>
      <c r="F9" s="22"/>
      <c r="G9" s="6"/>
      <c r="H9" s="22">
        <v>3375000</v>
      </c>
      <c r="J9" s="27"/>
      <c r="K9" s="51"/>
      <c r="L9" s="51"/>
      <c r="M9" s="51"/>
      <c r="N9" s="51"/>
      <c r="O9" s="51"/>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row>
    <row r="10" spans="1:98" s="2" customFormat="1" ht="20.100000000000001" customHeight="1" thickBot="1" x14ac:dyDescent="0.3">
      <c r="A10" s="27"/>
      <c r="D10" s="16" t="s">
        <v>39</v>
      </c>
      <c r="F10" s="23"/>
      <c r="G10" s="6"/>
      <c r="H10" s="23"/>
      <c r="J10" s="27"/>
      <c r="K10" s="44"/>
      <c r="L10" s="44"/>
      <c r="M10" s="44"/>
      <c r="N10" s="44"/>
      <c r="O10" s="44"/>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row>
    <row r="11" spans="1:98" s="2" customFormat="1" ht="20.100000000000001" customHeight="1" x14ac:dyDescent="0.25">
      <c r="A11" s="27"/>
      <c r="D11" s="16" t="s">
        <v>42</v>
      </c>
      <c r="F11" s="23"/>
      <c r="G11" s="6"/>
      <c r="H11" s="23"/>
      <c r="J11" s="27"/>
      <c r="K11" s="46" t="s">
        <v>57</v>
      </c>
      <c r="L11" s="46"/>
      <c r="M11" s="46"/>
      <c r="N11" s="46"/>
      <c r="O11" s="46"/>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row>
    <row r="12" spans="1:98" s="2" customFormat="1" ht="20.100000000000001" customHeight="1" x14ac:dyDescent="0.25">
      <c r="A12" s="27"/>
      <c r="F12" s="9"/>
      <c r="G12" s="6"/>
      <c r="H12" s="9"/>
      <c r="J12" s="27"/>
      <c r="K12" s="53"/>
      <c r="L12" s="53"/>
      <c r="M12" s="53"/>
      <c r="N12" s="53"/>
      <c r="O12" s="53"/>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row>
    <row r="13" spans="1:98" s="2" customFormat="1" ht="24.95" customHeight="1" x14ac:dyDescent="0.25">
      <c r="A13" s="27"/>
      <c r="D13" s="41" t="s">
        <v>43</v>
      </c>
      <c r="E13" s="4"/>
      <c r="F13" s="19"/>
      <c r="G13" s="6"/>
      <c r="H13" s="19">
        <f>SUM(H9:H12)</f>
        <v>3375000</v>
      </c>
      <c r="J13" s="27"/>
      <c r="K13" s="53"/>
      <c r="L13" s="53"/>
      <c r="M13" s="53"/>
      <c r="N13" s="53"/>
      <c r="O13" s="53"/>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row>
    <row r="14" spans="1:98" s="2" customFormat="1" ht="20.100000000000001" customHeight="1" x14ac:dyDescent="0.25">
      <c r="A14" s="27"/>
      <c r="F14" s="9"/>
      <c r="G14" s="6"/>
      <c r="H14" s="9"/>
      <c r="J14" s="27"/>
      <c r="K14" s="53"/>
      <c r="L14" s="53"/>
      <c r="M14" s="53"/>
      <c r="N14" s="53"/>
      <c r="O14" s="53"/>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row>
    <row r="15" spans="1:98" s="2" customFormat="1" ht="24.95" customHeight="1" thickBot="1" x14ac:dyDescent="0.3">
      <c r="A15" s="27"/>
      <c r="C15" s="58" t="s">
        <v>1</v>
      </c>
      <c r="D15" s="58"/>
      <c r="E15" s="58"/>
      <c r="F15" s="10"/>
      <c r="G15" s="6"/>
      <c r="H15" s="10"/>
      <c r="J15" s="27"/>
      <c r="K15" s="53"/>
      <c r="L15" s="53"/>
      <c r="M15" s="53"/>
      <c r="N15" s="53"/>
      <c r="O15" s="53"/>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row>
    <row r="16" spans="1:98" s="2" customFormat="1" ht="20.100000000000001" customHeight="1" x14ac:dyDescent="0.25">
      <c r="A16" s="27"/>
      <c r="D16" s="15" t="s">
        <v>45</v>
      </c>
      <c r="F16" s="24"/>
      <c r="G16" s="6"/>
      <c r="H16" s="24"/>
      <c r="J16" s="27"/>
      <c r="K16" s="53"/>
      <c r="L16" s="53"/>
      <c r="M16" s="53"/>
      <c r="N16" s="53"/>
      <c r="O16" s="53"/>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row>
    <row r="17" spans="1:97" s="2" customFormat="1" ht="20.100000000000001" customHeight="1" x14ac:dyDescent="0.25">
      <c r="A17" s="27"/>
      <c r="D17" s="16" t="s">
        <v>4</v>
      </c>
      <c r="F17" s="23"/>
      <c r="G17" s="6"/>
      <c r="H17" s="23"/>
      <c r="J17" s="27"/>
      <c r="K17" s="53"/>
      <c r="L17" s="53"/>
      <c r="M17" s="53"/>
      <c r="N17" s="53"/>
      <c r="O17" s="53"/>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row>
    <row r="18" spans="1:97" s="2" customFormat="1" ht="20.100000000000001" customHeight="1" x14ac:dyDescent="0.25">
      <c r="A18" s="27"/>
      <c r="D18" s="16" t="s">
        <v>5</v>
      </c>
      <c r="F18" s="23"/>
      <c r="G18" s="6"/>
      <c r="H18" s="23"/>
      <c r="J18" s="27"/>
      <c r="K18" s="53"/>
      <c r="L18" s="53"/>
      <c r="M18" s="53"/>
      <c r="N18" s="53"/>
      <c r="O18" s="53"/>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row>
    <row r="19" spans="1:97" s="2" customFormat="1" ht="20.100000000000001" customHeight="1" x14ac:dyDescent="0.25">
      <c r="A19" s="27"/>
      <c r="D19" s="16" t="s">
        <v>2</v>
      </c>
      <c r="F19" s="23"/>
      <c r="G19" s="6"/>
      <c r="H19" s="23"/>
      <c r="J19" s="27"/>
      <c r="K19" s="53"/>
      <c r="L19" s="53"/>
      <c r="M19" s="53"/>
      <c r="N19" s="53"/>
      <c r="O19" s="53"/>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row>
    <row r="20" spans="1:97" s="2" customFormat="1" ht="20.100000000000001" customHeight="1" x14ac:dyDescent="0.25">
      <c r="A20" s="27"/>
      <c r="F20" s="9"/>
      <c r="G20" s="6"/>
      <c r="H20" s="9"/>
      <c r="J20" s="27"/>
      <c r="K20" s="53"/>
      <c r="L20" s="53"/>
      <c r="M20" s="53"/>
      <c r="N20" s="53"/>
      <c r="O20" s="53"/>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row>
    <row r="21" spans="1:97" s="2" customFormat="1" ht="24.95" customHeight="1" x14ac:dyDescent="0.25">
      <c r="A21" s="27"/>
      <c r="D21" s="40" t="s">
        <v>3</v>
      </c>
      <c r="E21" s="4"/>
      <c r="F21" s="19"/>
      <c r="G21" s="6"/>
      <c r="H21" s="19">
        <f t="shared" ref="G21:H21" si="0">SUM(H16:H20)</f>
        <v>0</v>
      </c>
      <c r="J21" s="27"/>
      <c r="K21" s="53"/>
      <c r="L21" s="53"/>
      <c r="M21" s="53"/>
      <c r="N21" s="53"/>
      <c r="O21" s="53"/>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row>
    <row r="22" spans="1:97" s="2" customFormat="1" ht="20.100000000000001" customHeight="1" x14ac:dyDescent="0.25">
      <c r="A22" s="27"/>
      <c r="F22" s="9"/>
      <c r="G22" s="6"/>
      <c r="H22" s="9"/>
      <c r="J22" s="27"/>
      <c r="K22" s="53"/>
      <c r="L22" s="53"/>
      <c r="M22" s="53"/>
      <c r="N22" s="53"/>
      <c r="O22" s="53"/>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row>
    <row r="23" spans="1:97" s="2" customFormat="1" ht="24.95" customHeight="1" x14ac:dyDescent="0.25">
      <c r="A23" s="27"/>
      <c r="D23" s="41" t="s">
        <v>46</v>
      </c>
      <c r="E23" s="4"/>
      <c r="F23" s="19"/>
      <c r="G23" s="6"/>
      <c r="H23" s="19">
        <f t="shared" ref="G23:H23" si="1">+H13+H21</f>
        <v>3375000</v>
      </c>
      <c r="J23" s="27"/>
      <c r="K23" s="53"/>
      <c r="L23" s="53"/>
      <c r="M23" s="53"/>
      <c r="N23" s="53"/>
      <c r="O23" s="53"/>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row>
    <row r="24" spans="1:97" s="2" customFormat="1" ht="20.100000000000001" customHeight="1" x14ac:dyDescent="0.25">
      <c r="A24" s="27"/>
      <c r="F24" s="9"/>
      <c r="G24" s="6"/>
      <c r="H24" s="9"/>
      <c r="J24" s="27"/>
      <c r="K24" s="53"/>
      <c r="L24" s="53"/>
      <c r="M24" s="53"/>
      <c r="N24" s="53"/>
      <c r="O24" s="53"/>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row>
    <row r="25" spans="1:97" s="2" customFormat="1" ht="24.95" customHeight="1" thickBot="1" x14ac:dyDescent="0.3">
      <c r="A25" s="27"/>
      <c r="C25" s="58" t="s">
        <v>6</v>
      </c>
      <c r="D25" s="58"/>
      <c r="E25" s="58"/>
      <c r="F25" s="10"/>
      <c r="G25" s="6"/>
      <c r="H25" s="10"/>
      <c r="J25" s="27"/>
      <c r="K25" s="53"/>
      <c r="L25" s="53"/>
      <c r="M25" s="53"/>
      <c r="N25" s="53"/>
      <c r="O25" s="53"/>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row>
    <row r="26" spans="1:97" s="2" customFormat="1" ht="20.100000000000001" customHeight="1" x14ac:dyDescent="0.25">
      <c r="A26" s="27"/>
      <c r="D26" s="15" t="s">
        <v>17</v>
      </c>
      <c r="F26" s="22"/>
      <c r="G26" s="6"/>
      <c r="H26" s="22">
        <v>-54000</v>
      </c>
      <c r="J26" s="27"/>
      <c r="K26" s="53"/>
      <c r="L26" s="53"/>
      <c r="M26" s="53"/>
      <c r="N26" s="53"/>
      <c r="O26" s="53"/>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row>
    <row r="27" spans="1:97" s="2" customFormat="1" ht="20.100000000000001" customHeight="1" x14ac:dyDescent="0.25">
      <c r="A27" s="27"/>
      <c r="D27" s="16" t="s">
        <v>18</v>
      </c>
      <c r="F27" s="23"/>
      <c r="G27" s="6"/>
      <c r="H27" s="23">
        <v>-1749</v>
      </c>
      <c r="J27" s="27"/>
      <c r="K27" s="53"/>
      <c r="L27" s="53"/>
      <c r="M27" s="53"/>
      <c r="N27" s="53"/>
      <c r="O27" s="53"/>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row>
    <row r="28" spans="1:97" s="2" customFormat="1" ht="20.100000000000001" customHeight="1" x14ac:dyDescent="0.25">
      <c r="A28" s="27"/>
      <c r="D28" s="16" t="s">
        <v>8</v>
      </c>
      <c r="F28" s="23"/>
      <c r="G28" s="6"/>
      <c r="H28" s="23">
        <v>-26000</v>
      </c>
      <c r="J28" s="27"/>
      <c r="K28" s="53"/>
      <c r="L28" s="53"/>
      <c r="M28" s="53"/>
      <c r="N28" s="53"/>
      <c r="O28" s="53"/>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row>
    <row r="29" spans="1:97" s="2" customFormat="1" ht="20.100000000000001" customHeight="1" x14ac:dyDescent="0.25">
      <c r="A29" s="27"/>
      <c r="D29" s="16" t="s">
        <v>70</v>
      </c>
      <c r="F29" s="23"/>
      <c r="G29" s="6"/>
      <c r="H29" s="62">
        <v>-20000</v>
      </c>
      <c r="J29" s="27"/>
      <c r="K29" s="53"/>
      <c r="L29" s="53"/>
      <c r="M29" s="53"/>
      <c r="N29" s="53"/>
      <c r="O29" s="53"/>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row>
    <row r="30" spans="1:97" s="2" customFormat="1" ht="20.100000000000001" customHeight="1" x14ac:dyDescent="0.25">
      <c r="A30" s="27"/>
      <c r="D30" s="16" t="s">
        <v>10</v>
      </c>
      <c r="F30" s="23"/>
      <c r="G30" s="6"/>
      <c r="H30" s="23">
        <v>-36000</v>
      </c>
      <c r="J30" s="27"/>
      <c r="K30" s="53"/>
      <c r="L30" s="53"/>
      <c r="M30" s="53"/>
      <c r="N30" s="53"/>
      <c r="O30" s="53"/>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row>
    <row r="31" spans="1:97" s="2" customFormat="1" ht="20.100000000000001" customHeight="1" x14ac:dyDescent="0.25">
      <c r="A31" s="27"/>
      <c r="D31" s="16" t="s">
        <v>71</v>
      </c>
      <c r="F31" s="23"/>
      <c r="G31" s="6"/>
      <c r="H31" s="23">
        <v>-18000</v>
      </c>
      <c r="J31" s="27"/>
      <c r="K31" s="53"/>
      <c r="L31" s="53"/>
      <c r="M31" s="53"/>
      <c r="N31" s="53"/>
      <c r="O31" s="53"/>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row>
    <row r="32" spans="1:97" s="2" customFormat="1" ht="20.100000000000001" customHeight="1" x14ac:dyDescent="0.25">
      <c r="A32" s="27"/>
      <c r="D32" s="2" t="s">
        <v>67</v>
      </c>
      <c r="F32" s="23"/>
      <c r="G32" s="23"/>
      <c r="H32" s="23">
        <v>-144000</v>
      </c>
      <c r="J32" s="27"/>
      <c r="K32" s="53"/>
      <c r="L32" s="53"/>
      <c r="M32" s="53"/>
      <c r="N32" s="53"/>
      <c r="O32" s="53"/>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row>
    <row r="33" spans="1:97" s="2" customFormat="1" ht="20.100000000000001" customHeight="1" x14ac:dyDescent="0.25">
      <c r="A33" s="27"/>
      <c r="D33" s="16" t="s">
        <v>68</v>
      </c>
      <c r="F33" s="23"/>
      <c r="G33" s="23"/>
      <c r="H33" s="23">
        <v>-30000</v>
      </c>
      <c r="J33" s="27"/>
      <c r="K33" s="53"/>
      <c r="L33" s="53"/>
      <c r="M33" s="53"/>
      <c r="N33" s="53"/>
      <c r="O33" s="53"/>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row>
    <row r="34" spans="1:97" s="2" customFormat="1" ht="20.100000000000001" customHeight="1" x14ac:dyDescent="0.25">
      <c r="A34" s="27"/>
      <c r="D34" s="16" t="s">
        <v>69</v>
      </c>
      <c r="F34" s="23"/>
      <c r="G34" s="23"/>
      <c r="H34" s="23">
        <v>-100000</v>
      </c>
      <c r="J34" s="27"/>
      <c r="K34" s="53"/>
      <c r="L34" s="53"/>
      <c r="M34" s="53"/>
      <c r="N34" s="53"/>
      <c r="O34" s="53"/>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row>
    <row r="35" spans="1:97" s="2" customFormat="1" ht="20.100000000000001" customHeight="1" x14ac:dyDescent="0.25">
      <c r="A35" s="27"/>
      <c r="D35" s="16" t="s">
        <v>65</v>
      </c>
      <c r="F35" s="23"/>
      <c r="G35" s="23"/>
      <c r="H35" s="23">
        <v>-287280</v>
      </c>
      <c r="J35" s="27"/>
      <c r="K35" s="42"/>
      <c r="L35" s="42"/>
      <c r="M35" s="42"/>
      <c r="N35" s="42"/>
      <c r="O35" s="42"/>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row>
    <row r="36" spans="1:97" s="2" customFormat="1" ht="20.100000000000001" customHeight="1" x14ac:dyDescent="0.25">
      <c r="A36" s="27"/>
      <c r="D36" s="16" t="s">
        <v>30</v>
      </c>
      <c r="F36" s="23"/>
      <c r="G36" s="23"/>
      <c r="H36" s="23">
        <v>-84000</v>
      </c>
      <c r="J36" s="27"/>
      <c r="K36" s="54"/>
      <c r="L36" s="54"/>
      <c r="M36" s="54"/>
      <c r="N36" s="54"/>
      <c r="O36" s="54"/>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row>
    <row r="37" spans="1:97" s="2" customFormat="1" ht="20.100000000000001" customHeight="1" thickBot="1" x14ac:dyDescent="0.3">
      <c r="A37" s="27"/>
      <c r="D37" s="16" t="s">
        <v>15</v>
      </c>
      <c r="F37" s="23"/>
      <c r="G37" s="23"/>
      <c r="H37" s="23">
        <v>-6000</v>
      </c>
      <c r="I37" s="5"/>
      <c r="J37" s="27"/>
      <c r="K37" s="55"/>
      <c r="L37" s="55"/>
      <c r="M37" s="55"/>
      <c r="N37" s="55"/>
      <c r="O37" s="55"/>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row>
    <row r="38" spans="1:97" s="2" customFormat="1" ht="20.100000000000001" customHeight="1" x14ac:dyDescent="0.4">
      <c r="A38" s="27"/>
      <c r="D38" s="16" t="s">
        <v>66</v>
      </c>
      <c r="F38" s="23"/>
      <c r="G38" s="23"/>
      <c r="H38" s="23">
        <v>-84000</v>
      </c>
      <c r="I38" s="5"/>
      <c r="J38" s="27"/>
      <c r="K38" s="50"/>
      <c r="L38" s="50"/>
      <c r="M38" s="50"/>
      <c r="N38" s="50"/>
      <c r="O38" s="50"/>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row>
    <row r="39" spans="1:97" s="2" customFormat="1" ht="20.100000000000001" customHeight="1" x14ac:dyDescent="0.25">
      <c r="A39" s="27"/>
      <c r="J39" s="27"/>
      <c r="K39" s="47"/>
      <c r="L39" s="47"/>
      <c r="M39" s="47"/>
      <c r="N39" s="47"/>
      <c r="O39" s="4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row>
    <row r="40" spans="1:97" s="2" customFormat="1" ht="20.100000000000001" customHeight="1" x14ac:dyDescent="0.25">
      <c r="A40" s="27"/>
      <c r="J40" s="27"/>
      <c r="K40" s="47"/>
      <c r="L40" s="47"/>
      <c r="M40" s="47"/>
      <c r="N40" s="47"/>
      <c r="O40" s="4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row>
    <row r="41" spans="1:97" s="2" customFormat="1" ht="20.100000000000001" customHeight="1" x14ac:dyDescent="0.25">
      <c r="A41" s="27"/>
      <c r="J41" s="27"/>
      <c r="K41" s="47"/>
      <c r="L41" s="47"/>
      <c r="M41" s="47"/>
      <c r="N41" s="47"/>
      <c r="O41" s="4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row>
    <row r="42" spans="1:97" s="2" customFormat="1" ht="20.100000000000001" customHeight="1" x14ac:dyDescent="0.25">
      <c r="A42" s="27"/>
      <c r="J42" s="27"/>
      <c r="K42" s="47"/>
      <c r="L42" s="47"/>
      <c r="M42" s="47"/>
      <c r="N42" s="47"/>
      <c r="O42" s="4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row>
    <row r="43" spans="1:97" s="2" customFormat="1" ht="20.100000000000001" customHeight="1" x14ac:dyDescent="0.25">
      <c r="A43" s="27"/>
      <c r="D43" s="40" t="s">
        <v>23</v>
      </c>
      <c r="E43" s="4"/>
      <c r="F43" s="19"/>
      <c r="G43" s="19"/>
      <c r="H43" s="19">
        <f>SUM(H26:H38)</f>
        <v>-891029</v>
      </c>
      <c r="I43" s="5"/>
      <c r="J43" s="28"/>
      <c r="K43" s="47"/>
      <c r="L43" s="47"/>
      <c r="M43" s="47"/>
      <c r="N43" s="47"/>
      <c r="O43" s="4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row>
    <row r="44" spans="1:97" s="2" customFormat="1" ht="20.100000000000001" customHeight="1" x14ac:dyDescent="0.25">
      <c r="A44" s="27"/>
      <c r="F44" s="9"/>
      <c r="G44" s="9"/>
      <c r="H44" s="9"/>
      <c r="I44" s="5"/>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row>
    <row r="45" spans="1:97" s="2" customFormat="1" ht="20.100000000000001" customHeight="1" x14ac:dyDescent="0.25">
      <c r="A45" s="27"/>
      <c r="J45" s="28"/>
      <c r="K45" s="47"/>
      <c r="L45" s="47"/>
      <c r="M45" s="47"/>
      <c r="N45" s="47"/>
      <c r="O45" s="4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row>
    <row r="46" spans="1:97" s="2" customFormat="1" ht="20.100000000000001" customHeight="1" x14ac:dyDescent="0.25">
      <c r="A46" s="27"/>
      <c r="F46" s="9"/>
      <c r="G46" s="9"/>
      <c r="J46" s="28"/>
      <c r="K46" s="47"/>
      <c r="L46" s="47"/>
      <c r="M46" s="47"/>
      <c r="N46" s="47"/>
      <c r="O46" s="4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row>
    <row r="47" spans="1:97" s="2" customFormat="1" ht="24.95" customHeight="1" x14ac:dyDescent="0.25">
      <c r="A47" s="27"/>
      <c r="J47" s="28"/>
      <c r="K47" s="47"/>
      <c r="L47" s="47"/>
      <c r="M47" s="47"/>
      <c r="N47" s="47"/>
      <c r="O47" s="4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row>
    <row r="48" spans="1:97" s="2" customFormat="1" ht="20.100000000000001" customHeight="1" x14ac:dyDescent="0.25">
      <c r="A48" s="27"/>
      <c r="J48" s="28"/>
      <c r="K48" s="47"/>
      <c r="L48" s="47"/>
      <c r="M48" s="47"/>
      <c r="N48" s="47"/>
      <c r="O48" s="4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row>
    <row r="49" spans="1:97" s="2" customFormat="1" ht="24.95" customHeight="1" thickBot="1" x14ac:dyDescent="0.3">
      <c r="A49" s="27"/>
      <c r="C49" s="58" t="s">
        <v>51</v>
      </c>
      <c r="D49" s="58"/>
      <c r="E49" s="58"/>
      <c r="F49" s="39"/>
      <c r="G49" s="39"/>
      <c r="H49" s="39">
        <v>2483971</v>
      </c>
      <c r="I49" s="5"/>
      <c r="J49" s="28"/>
      <c r="K49" s="45"/>
      <c r="L49" s="45"/>
      <c r="M49" s="45"/>
      <c r="N49" s="45"/>
      <c r="O49" s="45"/>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row>
    <row r="50" spans="1:97" s="2" customFormat="1" ht="20.100000000000001" customHeight="1" x14ac:dyDescent="0.25">
      <c r="A50" s="27"/>
      <c r="D50" s="15" t="s">
        <v>47</v>
      </c>
      <c r="F50" s="22"/>
      <c r="G50" s="22"/>
      <c r="H50" s="22"/>
      <c r="I50" s="5"/>
      <c r="J50" s="28"/>
      <c r="K50" s="45"/>
      <c r="L50" s="45"/>
      <c r="M50" s="45"/>
      <c r="N50" s="45"/>
      <c r="O50" s="45"/>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row>
    <row r="51" spans="1:97" s="2" customFormat="1" ht="20.100000000000001" customHeight="1" x14ac:dyDescent="0.25">
      <c r="A51" s="27"/>
      <c r="D51" s="17" t="s">
        <v>48</v>
      </c>
      <c r="F51" s="25"/>
      <c r="G51" s="25"/>
      <c r="H51" s="25">
        <v>-39000</v>
      </c>
      <c r="I51" s="5"/>
      <c r="J51" s="28"/>
      <c r="K51" s="28"/>
      <c r="L51" s="28"/>
      <c r="M51" s="28"/>
      <c r="N51" s="28"/>
      <c r="O51" s="28"/>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row>
    <row r="52" spans="1:97" s="2" customFormat="1" ht="20.100000000000001" customHeight="1" x14ac:dyDescent="0.25">
      <c r="A52" s="27"/>
      <c r="D52" s="18" t="s">
        <v>50</v>
      </c>
      <c r="E52" s="14"/>
      <c r="F52" s="20"/>
      <c r="G52" s="20"/>
      <c r="H52" s="20">
        <v>2444971</v>
      </c>
      <c r="I52" s="1"/>
      <c r="J52" s="29"/>
      <c r="K52" s="28"/>
      <c r="L52" s="28"/>
      <c r="M52" s="28"/>
      <c r="N52" s="28"/>
      <c r="O52" s="28"/>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row>
    <row r="53" spans="1:97" s="5" customFormat="1" ht="20.100000000000001" customHeight="1" x14ac:dyDescent="0.25">
      <c r="A53" s="28"/>
      <c r="D53" s="16" t="s">
        <v>49</v>
      </c>
      <c r="F53" s="23"/>
      <c r="G53" s="23"/>
      <c r="H53" s="23" t="s">
        <v>72</v>
      </c>
      <c r="I53" s="1"/>
      <c r="J53" s="29"/>
      <c r="K53" s="29"/>
      <c r="L53" s="29"/>
      <c r="M53" s="29"/>
      <c r="N53" s="29"/>
      <c r="O53" s="29"/>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row>
    <row r="54" spans="1:97" s="2" customFormat="1" ht="20.100000000000001" customHeight="1" x14ac:dyDescent="0.25">
      <c r="A54" s="27"/>
      <c r="F54" s="9"/>
      <c r="G54" s="9"/>
      <c r="H54" s="9"/>
      <c r="I54" s="1"/>
      <c r="J54" s="29"/>
      <c r="K54" s="29"/>
      <c r="L54" s="29"/>
      <c r="M54" s="29"/>
      <c r="N54" s="29"/>
      <c r="O54" s="29"/>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row>
    <row r="55" spans="1:97" s="5" customFormat="1" ht="24.95" customHeight="1" x14ac:dyDescent="0.25">
      <c r="A55" s="28"/>
      <c r="D55" s="40" t="s">
        <v>44</v>
      </c>
      <c r="E55" s="4"/>
      <c r="F55" s="19"/>
      <c r="G55" s="19"/>
      <c r="H55" s="19" t="s">
        <v>73</v>
      </c>
      <c r="I55" s="1"/>
      <c r="J55" s="29"/>
      <c r="K55" s="29"/>
      <c r="L55" s="29"/>
      <c r="M55" s="29"/>
      <c r="N55" s="29"/>
      <c r="O55" s="29"/>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row>
    <row r="56" spans="1:97" s="5" customFormat="1" ht="20.100000000000001" customHeight="1" x14ac:dyDescent="0.25">
      <c r="A56" s="28"/>
      <c r="F56" s="11"/>
      <c r="G56" s="11"/>
      <c r="H56" s="11"/>
      <c r="I56" s="1"/>
      <c r="J56" s="29"/>
      <c r="K56" s="29"/>
      <c r="L56" s="29"/>
      <c r="M56" s="29"/>
      <c r="N56" s="29"/>
      <c r="O56" s="29"/>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row>
    <row r="57" spans="1:97" s="5" customFormat="1" ht="24.95" customHeight="1" thickBot="1" x14ac:dyDescent="0.3">
      <c r="A57" s="28"/>
      <c r="C57" s="58"/>
      <c r="D57" s="58"/>
      <c r="E57" s="58"/>
      <c r="F57" s="12"/>
      <c r="G57" s="12"/>
      <c r="H57" s="12"/>
      <c r="I57" s="1"/>
      <c r="J57" s="29"/>
      <c r="K57" s="29"/>
      <c r="L57" s="29"/>
      <c r="M57" s="29"/>
      <c r="N57" s="29"/>
      <c r="O57" s="29"/>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row>
    <row r="58" spans="1:97" s="5" customFormat="1" ht="20.100000000000001" customHeight="1" x14ac:dyDescent="0.25">
      <c r="A58" s="28"/>
      <c r="D58" s="15"/>
      <c r="F58" s="22"/>
      <c r="G58" s="22"/>
      <c r="H58" s="22"/>
      <c r="I58" s="1"/>
      <c r="J58" s="29"/>
      <c r="K58" s="29"/>
      <c r="L58" s="29"/>
      <c r="M58" s="29"/>
      <c r="N58" s="29"/>
      <c r="O58" s="29"/>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row>
    <row r="59" spans="1:97" s="5" customFormat="1" ht="20.100000000000001" customHeight="1" x14ac:dyDescent="0.25">
      <c r="A59" s="28"/>
      <c r="D59" s="16"/>
      <c r="F59" s="23"/>
      <c r="G59" s="23"/>
      <c r="H59" s="23"/>
      <c r="I59" s="1"/>
      <c r="J59" s="29"/>
      <c r="K59" s="29"/>
      <c r="L59" s="29"/>
      <c r="M59" s="29"/>
      <c r="N59" s="29"/>
      <c r="O59" s="29"/>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row>
    <row r="60" spans="1:97" s="5" customFormat="1" ht="20.100000000000001" customHeight="1" x14ac:dyDescent="0.25">
      <c r="A60" s="28"/>
      <c r="D60" s="16"/>
      <c r="F60" s="23"/>
      <c r="G60" s="23"/>
      <c r="H60" s="23"/>
      <c r="I60" s="1"/>
      <c r="J60" s="26"/>
      <c r="K60" s="29"/>
      <c r="L60" s="29"/>
      <c r="M60" s="29"/>
      <c r="N60" s="29"/>
      <c r="O60" s="29"/>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row>
    <row r="61" spans="1:97" s="5" customFormat="1" ht="20.100000000000001" customHeight="1" x14ac:dyDescent="0.25">
      <c r="A61" s="28"/>
      <c r="F61" s="11"/>
      <c r="G61" s="11"/>
      <c r="H61" s="11"/>
      <c r="I61" s="1"/>
      <c r="J61" s="26"/>
      <c r="K61" s="26"/>
      <c r="L61" s="26"/>
      <c r="M61" s="26"/>
      <c r="N61" s="26"/>
      <c r="O61" s="26"/>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row>
    <row r="62" spans="1:97" s="5" customFormat="1" ht="24.95" customHeight="1" thickBot="1" x14ac:dyDescent="0.3">
      <c r="A62" s="28"/>
      <c r="C62" s="56"/>
      <c r="D62" s="56"/>
      <c r="E62" s="38"/>
      <c r="F62" s="37"/>
      <c r="G62" s="37"/>
      <c r="H62" s="37"/>
      <c r="I62" s="1"/>
      <c r="J62" s="26"/>
      <c r="K62" s="26"/>
      <c r="L62" s="26"/>
      <c r="M62" s="26"/>
      <c r="N62" s="26"/>
      <c r="O62" s="26"/>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row>
    <row r="63" spans="1:97" s="1" customFormat="1" x14ac:dyDescent="0.25">
      <c r="A63" s="29"/>
      <c r="J63" s="26"/>
      <c r="K63" s="26"/>
      <c r="L63" s="26"/>
      <c r="M63" s="26"/>
      <c r="N63" s="26"/>
      <c r="O63" s="26"/>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row>
    <row r="64" spans="1:97" s="1" customFormat="1" x14ac:dyDescent="0.25">
      <c r="A64" s="29"/>
      <c r="C64" s="57"/>
      <c r="D64" s="57"/>
      <c r="E64" s="57"/>
      <c r="F64" s="57"/>
      <c r="G64" s="57"/>
      <c r="H64" s="57"/>
      <c r="J64" s="26"/>
      <c r="K64" s="26"/>
      <c r="L64" s="26"/>
      <c r="M64" s="26"/>
      <c r="N64" s="26"/>
      <c r="O64" s="26"/>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row>
    <row r="65" spans="1:97" s="1" customFormat="1" x14ac:dyDescent="0.25">
      <c r="A65" s="29"/>
      <c r="C65" s="57"/>
      <c r="D65" s="57"/>
      <c r="E65" s="57"/>
      <c r="F65" s="57"/>
      <c r="G65" s="57"/>
      <c r="H65" s="57"/>
      <c r="J65" s="26"/>
      <c r="K65" s="26"/>
      <c r="L65" s="26"/>
      <c r="M65" s="26"/>
      <c r="N65" s="26"/>
      <c r="O65" s="26"/>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row>
    <row r="66" spans="1:97" s="1" customFormat="1" x14ac:dyDescent="0.25">
      <c r="A66" s="29"/>
      <c r="C66" s="57"/>
      <c r="D66" s="57"/>
      <c r="E66" s="57"/>
      <c r="F66" s="57"/>
      <c r="G66" s="57"/>
      <c r="H66" s="57"/>
      <c r="J66" s="26"/>
      <c r="K66" s="26"/>
      <c r="L66" s="26"/>
      <c r="M66" s="26"/>
      <c r="N66" s="26"/>
      <c r="O66" s="26"/>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row>
    <row r="67" spans="1:97" s="1" customFormat="1" x14ac:dyDescent="0.25">
      <c r="A67" s="29"/>
      <c r="C67" s="57"/>
      <c r="D67" s="57"/>
      <c r="E67" s="57"/>
      <c r="F67" s="57"/>
      <c r="G67" s="57"/>
      <c r="H67" s="57"/>
      <c r="J67" s="26"/>
      <c r="K67" s="26"/>
      <c r="L67" s="26"/>
      <c r="M67" s="26"/>
      <c r="N67" s="26"/>
      <c r="O67" s="26"/>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c r="CL67" s="29"/>
      <c r="CM67" s="29"/>
      <c r="CN67" s="29"/>
      <c r="CO67" s="29"/>
      <c r="CP67" s="29"/>
      <c r="CQ67" s="29"/>
      <c r="CR67" s="29"/>
      <c r="CS67" s="29"/>
    </row>
    <row r="68" spans="1:97" s="1" customFormat="1" x14ac:dyDescent="0.25">
      <c r="A68" s="29"/>
      <c r="C68" s="57"/>
      <c r="D68" s="57"/>
      <c r="E68" s="57"/>
      <c r="F68" s="57"/>
      <c r="G68" s="57"/>
      <c r="H68" s="57"/>
      <c r="J68" s="26"/>
      <c r="K68" s="26"/>
      <c r="L68" s="26"/>
      <c r="M68" s="26"/>
      <c r="N68" s="26"/>
      <c r="O68" s="26"/>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row>
    <row r="69" spans="1:97" s="1" customFormat="1" x14ac:dyDescent="0.25">
      <c r="A69" s="29"/>
      <c r="J69" s="26"/>
      <c r="K69" s="26"/>
      <c r="L69" s="26"/>
      <c r="M69" s="26"/>
      <c r="N69" s="26"/>
      <c r="O69" s="26"/>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row>
    <row r="70" spans="1:97" s="1" customFormat="1" x14ac:dyDescent="0.25">
      <c r="A70" s="29"/>
      <c r="J70" s="26"/>
      <c r="K70" s="26"/>
      <c r="L70" s="26"/>
      <c r="M70" s="26"/>
      <c r="N70" s="26"/>
      <c r="O70" s="26"/>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c r="CQ70" s="29"/>
      <c r="CR70" s="29"/>
      <c r="CS70" s="29"/>
    </row>
    <row r="71" spans="1:97" s="26" customFormat="1" x14ac:dyDescent="0.25"/>
    <row r="72" spans="1:97" s="26" customFormat="1" x14ac:dyDescent="0.25"/>
    <row r="73" spans="1:97" s="26" customFormat="1" x14ac:dyDescent="0.25"/>
    <row r="74" spans="1:97" s="26" customFormat="1" x14ac:dyDescent="0.25"/>
    <row r="75" spans="1:97" s="26" customFormat="1" x14ac:dyDescent="0.25"/>
    <row r="76" spans="1:97" s="26" customFormat="1" x14ac:dyDescent="0.25"/>
    <row r="77" spans="1:97" s="26" customFormat="1" x14ac:dyDescent="0.25"/>
    <row r="78" spans="1:97" s="26" customFormat="1" x14ac:dyDescent="0.25"/>
    <row r="79" spans="1:97" s="26" customFormat="1" x14ac:dyDescent="0.25"/>
    <row r="80" spans="1:97" s="26" customFormat="1" x14ac:dyDescent="0.25"/>
    <row r="81" s="26" customFormat="1" x14ac:dyDescent="0.25"/>
    <row r="82" s="26" customFormat="1" x14ac:dyDescent="0.25"/>
    <row r="83" s="26" customFormat="1" x14ac:dyDescent="0.25"/>
    <row r="84" s="26" customFormat="1" x14ac:dyDescent="0.25"/>
    <row r="85" s="26" customFormat="1" x14ac:dyDescent="0.25"/>
    <row r="86" s="26" customFormat="1" x14ac:dyDescent="0.25"/>
    <row r="87" s="26" customFormat="1" x14ac:dyDescent="0.25"/>
    <row r="88" s="26" customFormat="1" x14ac:dyDescent="0.25"/>
    <row r="89" s="26" customFormat="1" x14ac:dyDescent="0.25"/>
    <row r="90" s="26" customFormat="1" x14ac:dyDescent="0.25"/>
    <row r="91" s="26" customFormat="1" x14ac:dyDescent="0.25"/>
    <row r="92" s="26" customFormat="1" x14ac:dyDescent="0.25"/>
    <row r="93" s="26" customFormat="1" x14ac:dyDescent="0.25"/>
    <row r="94" s="26" customFormat="1" x14ac:dyDescent="0.25"/>
    <row r="95" s="26" customFormat="1" x14ac:dyDescent="0.25"/>
    <row r="96" s="26" customFormat="1" x14ac:dyDescent="0.25"/>
    <row r="97" s="26" customFormat="1" x14ac:dyDescent="0.25"/>
    <row r="98" s="26" customFormat="1" x14ac:dyDescent="0.25"/>
    <row r="99" s="26" customFormat="1" x14ac:dyDescent="0.25"/>
    <row r="100" s="26" customFormat="1" x14ac:dyDescent="0.25"/>
    <row r="101" s="26" customFormat="1" x14ac:dyDescent="0.25"/>
    <row r="102" s="26" customFormat="1" x14ac:dyDescent="0.25"/>
    <row r="103" s="26" customFormat="1" x14ac:dyDescent="0.25"/>
    <row r="104" s="26" customFormat="1" x14ac:dyDescent="0.25"/>
    <row r="105" s="26" customFormat="1" x14ac:dyDescent="0.25"/>
    <row r="106" s="26" customFormat="1" x14ac:dyDescent="0.25"/>
    <row r="107" s="26" customFormat="1" x14ac:dyDescent="0.25"/>
    <row r="108" s="26" customFormat="1" x14ac:dyDescent="0.25"/>
    <row r="109" s="26" customFormat="1" x14ac:dyDescent="0.25"/>
    <row r="110" s="26" customFormat="1" x14ac:dyDescent="0.25"/>
    <row r="111" s="26" customFormat="1" x14ac:dyDescent="0.25"/>
    <row r="112" s="26" customFormat="1" x14ac:dyDescent="0.25"/>
    <row r="113" s="26" customFormat="1" x14ac:dyDescent="0.25"/>
    <row r="114" s="26" customFormat="1" x14ac:dyDescent="0.25"/>
    <row r="115" s="26" customFormat="1" x14ac:dyDescent="0.25"/>
    <row r="116" s="26" customFormat="1" x14ac:dyDescent="0.25"/>
    <row r="117" s="26" customFormat="1" x14ac:dyDescent="0.25"/>
    <row r="118" s="26" customFormat="1" x14ac:dyDescent="0.25"/>
    <row r="119" s="26" customFormat="1" x14ac:dyDescent="0.25"/>
    <row r="120" s="26" customFormat="1" x14ac:dyDescent="0.25"/>
    <row r="121" s="26" customFormat="1" x14ac:dyDescent="0.25"/>
    <row r="122" s="26" customFormat="1" x14ac:dyDescent="0.25"/>
    <row r="123" s="26" customFormat="1" x14ac:dyDescent="0.25"/>
    <row r="124" s="26" customFormat="1" x14ac:dyDescent="0.25"/>
    <row r="125" s="26" customFormat="1" x14ac:dyDescent="0.25"/>
    <row r="126" s="26" customFormat="1" x14ac:dyDescent="0.25"/>
    <row r="127" s="26" customFormat="1" x14ac:dyDescent="0.25"/>
    <row r="128" s="26" customFormat="1" x14ac:dyDescent="0.25"/>
    <row r="129" s="26" customFormat="1" x14ac:dyDescent="0.25"/>
    <row r="130" s="26" customFormat="1" x14ac:dyDescent="0.25"/>
    <row r="131" s="26" customFormat="1" x14ac:dyDescent="0.25"/>
    <row r="132" s="26" customFormat="1" x14ac:dyDescent="0.25"/>
    <row r="133" s="26" customFormat="1" x14ac:dyDescent="0.25"/>
    <row r="134" s="26" customFormat="1" x14ac:dyDescent="0.25"/>
    <row r="135" s="26" customFormat="1" x14ac:dyDescent="0.25"/>
    <row r="136" s="26" customFormat="1" x14ac:dyDescent="0.25"/>
    <row r="137" s="26" customFormat="1" x14ac:dyDescent="0.25"/>
    <row r="138" s="26" customFormat="1" x14ac:dyDescent="0.25"/>
    <row r="139" s="26" customFormat="1" x14ac:dyDescent="0.25"/>
    <row r="140" s="26" customFormat="1" x14ac:dyDescent="0.25"/>
    <row r="141" s="26" customFormat="1" x14ac:dyDescent="0.25"/>
    <row r="142" s="26" customFormat="1" x14ac:dyDescent="0.25"/>
    <row r="143" s="26" customFormat="1" x14ac:dyDescent="0.25"/>
    <row r="144" s="26" customFormat="1" x14ac:dyDescent="0.25"/>
    <row r="145" s="26" customFormat="1" x14ac:dyDescent="0.25"/>
    <row r="146" s="26" customFormat="1" x14ac:dyDescent="0.25"/>
    <row r="147" s="26" customFormat="1" x14ac:dyDescent="0.25"/>
    <row r="148" s="26" customFormat="1" x14ac:dyDescent="0.25"/>
    <row r="149" s="26" customFormat="1" x14ac:dyDescent="0.25"/>
    <row r="150" s="26" customFormat="1" x14ac:dyDescent="0.25"/>
    <row r="151" s="26" customFormat="1" x14ac:dyDescent="0.25"/>
    <row r="152" s="26" customFormat="1" x14ac:dyDescent="0.25"/>
    <row r="153" s="26" customFormat="1" x14ac:dyDescent="0.25"/>
    <row r="154" s="26" customFormat="1" x14ac:dyDescent="0.25"/>
    <row r="155" s="26" customFormat="1" x14ac:dyDescent="0.25"/>
    <row r="156" s="26" customFormat="1" x14ac:dyDescent="0.25"/>
    <row r="157" s="26" customFormat="1" x14ac:dyDescent="0.25"/>
    <row r="158" s="26" customFormat="1" x14ac:dyDescent="0.25"/>
    <row r="159" s="26" customFormat="1" x14ac:dyDescent="0.25"/>
    <row r="160" s="26" customFormat="1" x14ac:dyDescent="0.25"/>
    <row r="161" s="26" customFormat="1" x14ac:dyDescent="0.25"/>
    <row r="162" s="26" customFormat="1" x14ac:dyDescent="0.25"/>
    <row r="163" s="26" customFormat="1" x14ac:dyDescent="0.25"/>
    <row r="164" s="26" customFormat="1" x14ac:dyDescent="0.25"/>
    <row r="165" s="26" customFormat="1" x14ac:dyDescent="0.25"/>
    <row r="166" s="26" customFormat="1" x14ac:dyDescent="0.25"/>
    <row r="167" s="26" customFormat="1" x14ac:dyDescent="0.25"/>
    <row r="168" s="26" customFormat="1" x14ac:dyDescent="0.25"/>
    <row r="169" s="26" customFormat="1" x14ac:dyDescent="0.25"/>
    <row r="170" s="26" customFormat="1" x14ac:dyDescent="0.25"/>
    <row r="171" s="26" customFormat="1" x14ac:dyDescent="0.25"/>
    <row r="172" s="26" customFormat="1" x14ac:dyDescent="0.25"/>
    <row r="173" s="26" customFormat="1" x14ac:dyDescent="0.25"/>
    <row r="174" s="26" customFormat="1" x14ac:dyDescent="0.25"/>
    <row r="175" s="26" customFormat="1" x14ac:dyDescent="0.25"/>
    <row r="176" s="26" customFormat="1" x14ac:dyDescent="0.25"/>
    <row r="177" s="26" customFormat="1" x14ac:dyDescent="0.25"/>
    <row r="178" s="26" customFormat="1" x14ac:dyDescent="0.25"/>
    <row r="179" s="26" customFormat="1" x14ac:dyDescent="0.25"/>
    <row r="180" s="26" customFormat="1" x14ac:dyDescent="0.25"/>
    <row r="181" s="26" customFormat="1" x14ac:dyDescent="0.25"/>
    <row r="182" s="26" customFormat="1" x14ac:dyDescent="0.25"/>
    <row r="183" s="26" customFormat="1" x14ac:dyDescent="0.25"/>
    <row r="184" s="26" customFormat="1" x14ac:dyDescent="0.25"/>
    <row r="185" s="26" customFormat="1" x14ac:dyDescent="0.25"/>
    <row r="186" s="26" customFormat="1" x14ac:dyDescent="0.25"/>
    <row r="187" s="26" customFormat="1" x14ac:dyDescent="0.25"/>
    <row r="188" s="26" customFormat="1" x14ac:dyDescent="0.25"/>
    <row r="189" s="26" customFormat="1" x14ac:dyDescent="0.25"/>
    <row r="190" s="26" customFormat="1" x14ac:dyDescent="0.25"/>
    <row r="191" s="26" customFormat="1" x14ac:dyDescent="0.25"/>
    <row r="192" s="26" customFormat="1" x14ac:dyDescent="0.25"/>
    <row r="193" s="26" customFormat="1" x14ac:dyDescent="0.25"/>
    <row r="194" s="26" customFormat="1" x14ac:dyDescent="0.25"/>
    <row r="195" s="26" customFormat="1" x14ac:dyDescent="0.25"/>
    <row r="196" s="26" customFormat="1" x14ac:dyDescent="0.25"/>
    <row r="197" s="26" customFormat="1" x14ac:dyDescent="0.25"/>
    <row r="198" s="26" customFormat="1" x14ac:dyDescent="0.25"/>
    <row r="199" s="26" customFormat="1" x14ac:dyDescent="0.25"/>
    <row r="200" s="26" customFormat="1" x14ac:dyDescent="0.25"/>
    <row r="201" s="26" customFormat="1" x14ac:dyDescent="0.25"/>
    <row r="202" s="26" customFormat="1" x14ac:dyDescent="0.25"/>
    <row r="203" s="26" customFormat="1" x14ac:dyDescent="0.25"/>
    <row r="204" s="26" customFormat="1" x14ac:dyDescent="0.25"/>
    <row r="205" s="26" customFormat="1" x14ac:dyDescent="0.25"/>
    <row r="206" s="26" customFormat="1" x14ac:dyDescent="0.25"/>
    <row r="207" s="26" customFormat="1" x14ac:dyDescent="0.25"/>
    <row r="208" s="26" customFormat="1" x14ac:dyDescent="0.25"/>
    <row r="209" s="26" customFormat="1" x14ac:dyDescent="0.25"/>
    <row r="210" s="26" customFormat="1" x14ac:dyDescent="0.25"/>
    <row r="211" s="26" customFormat="1" x14ac:dyDescent="0.25"/>
    <row r="212" s="26" customFormat="1" x14ac:dyDescent="0.25"/>
    <row r="213" s="26" customFormat="1" x14ac:dyDescent="0.25"/>
    <row r="214" s="26" customFormat="1" x14ac:dyDescent="0.25"/>
    <row r="215" s="26" customFormat="1" x14ac:dyDescent="0.25"/>
    <row r="216" s="26" customFormat="1" x14ac:dyDescent="0.25"/>
    <row r="217" s="26" customFormat="1" x14ac:dyDescent="0.25"/>
    <row r="218" s="26" customForma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row r="546" s="26" customFormat="1" x14ac:dyDescent="0.25"/>
    <row r="547" s="26" customFormat="1" x14ac:dyDescent="0.25"/>
    <row r="548" s="26" customFormat="1" x14ac:dyDescent="0.25"/>
    <row r="549" s="26" customFormat="1" x14ac:dyDescent="0.25"/>
    <row r="550" s="26" customFormat="1" x14ac:dyDescent="0.25"/>
    <row r="551" s="26" customFormat="1" x14ac:dyDescent="0.25"/>
    <row r="552" s="26" customFormat="1" x14ac:dyDescent="0.25"/>
    <row r="553" s="26" customFormat="1" x14ac:dyDescent="0.25"/>
    <row r="554" s="26" customFormat="1" x14ac:dyDescent="0.25"/>
    <row r="555" s="26" customFormat="1" x14ac:dyDescent="0.25"/>
    <row r="556" s="26" customFormat="1" x14ac:dyDescent="0.25"/>
    <row r="557" s="26" customFormat="1" x14ac:dyDescent="0.25"/>
    <row r="558" s="26" customFormat="1" x14ac:dyDescent="0.25"/>
    <row r="559" s="26" customFormat="1" x14ac:dyDescent="0.25"/>
    <row r="560" s="26" customFormat="1" x14ac:dyDescent="0.25"/>
    <row r="561" s="26" customFormat="1" x14ac:dyDescent="0.25"/>
    <row r="562" s="26" customFormat="1" x14ac:dyDescent="0.25"/>
    <row r="563" s="26" customFormat="1" x14ac:dyDescent="0.25"/>
    <row r="564" s="26" customFormat="1" x14ac:dyDescent="0.25"/>
    <row r="565" s="26" customFormat="1" x14ac:dyDescent="0.25"/>
    <row r="566" s="26" customFormat="1" x14ac:dyDescent="0.25"/>
    <row r="567" s="26" customFormat="1" x14ac:dyDescent="0.25"/>
    <row r="568" s="26" customFormat="1" x14ac:dyDescent="0.25"/>
    <row r="569" s="26" customFormat="1" x14ac:dyDescent="0.25"/>
    <row r="570" s="26" customFormat="1" x14ac:dyDescent="0.25"/>
    <row r="571" s="26" customFormat="1" x14ac:dyDescent="0.25"/>
    <row r="572" s="26" customFormat="1" x14ac:dyDescent="0.25"/>
    <row r="573" s="26" customFormat="1" x14ac:dyDescent="0.25"/>
    <row r="574" s="26" customFormat="1" x14ac:dyDescent="0.25"/>
    <row r="575" s="26" customFormat="1" x14ac:dyDescent="0.25"/>
    <row r="576" s="26" customFormat="1" x14ac:dyDescent="0.25"/>
    <row r="577" s="26" customFormat="1" x14ac:dyDescent="0.25"/>
    <row r="578" s="26" customFormat="1" x14ac:dyDescent="0.25"/>
    <row r="579" s="26" customFormat="1" x14ac:dyDescent="0.25"/>
    <row r="580" s="26" customFormat="1" x14ac:dyDescent="0.25"/>
    <row r="581" s="26" customFormat="1" x14ac:dyDescent="0.25"/>
    <row r="582" s="26" customFormat="1" x14ac:dyDescent="0.25"/>
    <row r="583" s="26" customFormat="1" x14ac:dyDescent="0.25"/>
    <row r="584" s="26" customFormat="1" x14ac:dyDescent="0.25"/>
    <row r="585" s="26" customFormat="1" x14ac:dyDescent="0.25"/>
    <row r="586" s="26" customFormat="1" x14ac:dyDescent="0.25"/>
    <row r="587" s="26" customFormat="1" x14ac:dyDescent="0.25"/>
    <row r="588" s="26" customFormat="1" x14ac:dyDescent="0.25"/>
    <row r="589" s="26" customFormat="1" x14ac:dyDescent="0.25"/>
    <row r="590" s="26" customFormat="1" x14ac:dyDescent="0.25"/>
    <row r="591" s="26" customFormat="1" x14ac:dyDescent="0.25"/>
    <row r="592" s="26" customFormat="1" x14ac:dyDescent="0.25"/>
    <row r="593" s="26" customFormat="1" x14ac:dyDescent="0.25"/>
    <row r="594" s="26" customFormat="1" x14ac:dyDescent="0.25"/>
    <row r="595" s="26" customFormat="1" x14ac:dyDescent="0.25"/>
    <row r="596" s="26" customFormat="1" x14ac:dyDescent="0.25"/>
    <row r="597" s="26" customFormat="1" x14ac:dyDescent="0.25"/>
    <row r="598" s="26" customFormat="1" x14ac:dyDescent="0.25"/>
    <row r="599" s="26" customFormat="1" x14ac:dyDescent="0.25"/>
    <row r="600" s="26" customFormat="1" x14ac:dyDescent="0.25"/>
    <row r="601" s="26" customFormat="1" x14ac:dyDescent="0.25"/>
    <row r="602" s="26" customFormat="1" x14ac:dyDescent="0.25"/>
    <row r="603" s="26" customFormat="1" x14ac:dyDescent="0.25"/>
    <row r="604" s="26" customFormat="1" x14ac:dyDescent="0.25"/>
    <row r="605" s="26" customFormat="1" x14ac:dyDescent="0.25"/>
    <row r="606" s="26" customFormat="1" x14ac:dyDescent="0.25"/>
    <row r="607" s="26" customFormat="1" x14ac:dyDescent="0.25"/>
    <row r="608" s="26" customFormat="1" x14ac:dyDescent="0.25"/>
    <row r="609" s="26" customFormat="1" x14ac:dyDescent="0.25"/>
    <row r="610" s="26" customFormat="1" x14ac:dyDescent="0.25"/>
    <row r="611" s="26" customFormat="1" x14ac:dyDescent="0.25"/>
    <row r="612" s="26" customFormat="1" x14ac:dyDescent="0.25"/>
    <row r="613" s="26" customFormat="1" x14ac:dyDescent="0.25"/>
    <row r="614" s="26" customFormat="1" x14ac:dyDescent="0.25"/>
    <row r="615" s="26" customFormat="1" x14ac:dyDescent="0.25"/>
    <row r="616" s="26" customFormat="1" x14ac:dyDescent="0.25"/>
    <row r="617" s="26" customFormat="1" x14ac:dyDescent="0.25"/>
    <row r="618" s="26" customFormat="1" x14ac:dyDescent="0.25"/>
    <row r="619" s="26" customFormat="1" x14ac:dyDescent="0.25"/>
    <row r="620" s="26" customFormat="1" x14ac:dyDescent="0.25"/>
    <row r="621" s="26" customFormat="1" x14ac:dyDescent="0.25"/>
    <row r="622" s="26" customFormat="1" x14ac:dyDescent="0.25"/>
    <row r="623" s="26" customFormat="1" x14ac:dyDescent="0.25"/>
    <row r="624" s="26" customFormat="1" x14ac:dyDescent="0.25"/>
    <row r="625" s="26" customFormat="1" x14ac:dyDescent="0.25"/>
    <row r="626" s="26" customFormat="1" x14ac:dyDescent="0.25"/>
    <row r="627" s="26" customFormat="1" x14ac:dyDescent="0.25"/>
    <row r="628" s="26" customFormat="1" x14ac:dyDescent="0.25"/>
    <row r="629" s="26" customFormat="1" x14ac:dyDescent="0.25"/>
    <row r="630" s="26" customFormat="1" x14ac:dyDescent="0.25"/>
    <row r="631" s="26" customFormat="1" x14ac:dyDescent="0.25"/>
    <row r="632" s="26" customFormat="1" x14ac:dyDescent="0.25"/>
    <row r="633" s="26" customFormat="1" x14ac:dyDescent="0.25"/>
    <row r="634" s="26" customFormat="1" x14ac:dyDescent="0.25"/>
    <row r="635" s="26" customFormat="1" x14ac:dyDescent="0.25"/>
    <row r="636" s="26" customFormat="1" x14ac:dyDescent="0.25"/>
    <row r="637" s="26" customFormat="1" x14ac:dyDescent="0.25"/>
    <row r="638" s="26" customFormat="1" x14ac:dyDescent="0.25"/>
    <row r="639" s="26" customFormat="1" x14ac:dyDescent="0.25"/>
    <row r="640" s="26" customFormat="1" x14ac:dyDescent="0.25"/>
    <row r="641" s="26" customFormat="1" x14ac:dyDescent="0.25"/>
    <row r="642" s="26" customFormat="1" x14ac:dyDescent="0.25"/>
    <row r="643" s="26" customFormat="1" x14ac:dyDescent="0.25"/>
    <row r="644" s="26" customFormat="1" x14ac:dyDescent="0.25"/>
    <row r="645" s="26" customFormat="1" x14ac:dyDescent="0.25"/>
    <row r="646" s="26" customFormat="1" x14ac:dyDescent="0.25"/>
    <row r="647" s="26" customFormat="1" x14ac:dyDescent="0.25"/>
    <row r="648" s="26" customFormat="1" x14ac:dyDescent="0.25"/>
    <row r="649" s="26" customFormat="1" x14ac:dyDescent="0.25"/>
    <row r="650" s="26" customFormat="1" x14ac:dyDescent="0.25"/>
    <row r="651" s="26" customFormat="1" x14ac:dyDescent="0.25"/>
    <row r="652" s="26" customFormat="1" x14ac:dyDescent="0.25"/>
    <row r="653" s="26" customFormat="1" x14ac:dyDescent="0.25"/>
    <row r="654" s="26" customFormat="1" x14ac:dyDescent="0.25"/>
    <row r="655" s="26" customFormat="1" x14ac:dyDescent="0.25"/>
    <row r="656" s="26" customFormat="1" x14ac:dyDescent="0.25"/>
    <row r="657" s="26" customFormat="1" x14ac:dyDescent="0.25"/>
    <row r="658" s="26" customFormat="1" x14ac:dyDescent="0.25"/>
    <row r="659" s="26" customFormat="1" x14ac:dyDescent="0.25"/>
    <row r="660" s="26" customFormat="1" x14ac:dyDescent="0.25"/>
    <row r="661" s="26" customFormat="1" x14ac:dyDescent="0.25"/>
    <row r="662" s="26" customFormat="1" x14ac:dyDescent="0.25"/>
    <row r="663" s="26" customFormat="1" x14ac:dyDescent="0.25"/>
    <row r="664" s="26" customFormat="1" x14ac:dyDescent="0.25"/>
    <row r="665" s="26" customFormat="1" x14ac:dyDescent="0.25"/>
    <row r="666" s="26" customFormat="1" x14ac:dyDescent="0.25"/>
    <row r="667" s="26" customFormat="1" x14ac:dyDescent="0.25"/>
    <row r="668" s="26" customFormat="1" x14ac:dyDescent="0.25"/>
    <row r="669" s="26" customFormat="1" x14ac:dyDescent="0.25"/>
    <row r="670" s="26" customFormat="1" x14ac:dyDescent="0.25"/>
    <row r="671" s="26" customFormat="1" x14ac:dyDescent="0.25"/>
    <row r="672" s="26" customFormat="1" x14ac:dyDescent="0.25"/>
    <row r="673" spans="9:9" s="26" customFormat="1" x14ac:dyDescent="0.25"/>
    <row r="674" spans="9:9" s="26" customFormat="1" x14ac:dyDescent="0.25"/>
    <row r="675" spans="9:9" s="26" customFormat="1" x14ac:dyDescent="0.25"/>
    <row r="676" spans="9:9" s="26" customFormat="1" x14ac:dyDescent="0.25"/>
    <row r="677" spans="9:9" s="26" customFormat="1" x14ac:dyDescent="0.25"/>
    <row r="678" spans="9:9" s="26" customFormat="1" x14ac:dyDescent="0.25"/>
    <row r="679" spans="9:9" s="26" customFormat="1" x14ac:dyDescent="0.25"/>
    <row r="680" spans="9:9" s="26" customFormat="1" x14ac:dyDescent="0.25"/>
    <row r="681" spans="9:9" s="26" customFormat="1" x14ac:dyDescent="0.25"/>
    <row r="682" spans="9:9" x14ac:dyDescent="0.25">
      <c r="I682" s="26"/>
    </row>
    <row r="683" spans="9:9" x14ac:dyDescent="0.25">
      <c r="I683" s="26"/>
    </row>
    <row r="684" spans="9:9" x14ac:dyDescent="0.25">
      <c r="I684" s="26"/>
    </row>
    <row r="685" spans="9:9" x14ac:dyDescent="0.25">
      <c r="I685" s="26"/>
    </row>
    <row r="686" spans="9:9" x14ac:dyDescent="0.25">
      <c r="I686" s="26"/>
    </row>
    <row r="687" spans="9:9" x14ac:dyDescent="0.25">
      <c r="I687" s="26"/>
    </row>
    <row r="688" spans="9:9" x14ac:dyDescent="0.25">
      <c r="I688" s="26"/>
    </row>
    <row r="689" spans="9:9" x14ac:dyDescent="0.25">
      <c r="I689" s="26"/>
    </row>
    <row r="690" spans="9:9" x14ac:dyDescent="0.25">
      <c r="I690" s="26"/>
    </row>
    <row r="691" spans="9:9" x14ac:dyDescent="0.25">
      <c r="I691" s="26"/>
    </row>
    <row r="692" spans="9:9" x14ac:dyDescent="0.25">
      <c r="I692" s="26"/>
    </row>
    <row r="693" spans="9:9" x14ac:dyDescent="0.25">
      <c r="I693" s="26"/>
    </row>
    <row r="694" spans="9:9" x14ac:dyDescent="0.25">
      <c r="I694" s="26"/>
    </row>
    <row r="695" spans="9:9" x14ac:dyDescent="0.25">
      <c r="I695" s="26"/>
    </row>
    <row r="696" spans="9:9" x14ac:dyDescent="0.25">
      <c r="I696" s="26"/>
    </row>
    <row r="697" spans="9:9" x14ac:dyDescent="0.25">
      <c r="I697" s="26"/>
    </row>
    <row r="698" spans="9:9" x14ac:dyDescent="0.25">
      <c r="I698" s="26"/>
    </row>
    <row r="699" spans="9:9" x14ac:dyDescent="0.25">
      <c r="I699" s="26"/>
    </row>
    <row r="700" spans="9:9" x14ac:dyDescent="0.25">
      <c r="I700" s="26"/>
    </row>
    <row r="701" spans="9:9" x14ac:dyDescent="0.25">
      <c r="I701" s="26"/>
    </row>
    <row r="702" spans="9:9" x14ac:dyDescent="0.25">
      <c r="I702" s="26"/>
    </row>
    <row r="703" spans="9:9" x14ac:dyDescent="0.25">
      <c r="I703" s="26"/>
    </row>
    <row r="704" spans="9:9" x14ac:dyDescent="0.25">
      <c r="I704" s="26"/>
    </row>
    <row r="705" spans="9:9" x14ac:dyDescent="0.25">
      <c r="I705" s="26"/>
    </row>
    <row r="706" spans="9:9" x14ac:dyDescent="0.25">
      <c r="I706" s="26"/>
    </row>
    <row r="707" spans="9:9" x14ac:dyDescent="0.25">
      <c r="I707" s="26"/>
    </row>
    <row r="708" spans="9:9" x14ac:dyDescent="0.25">
      <c r="I708" s="26"/>
    </row>
    <row r="709" spans="9:9" x14ac:dyDescent="0.25">
      <c r="I709" s="26"/>
    </row>
    <row r="710" spans="9:9" x14ac:dyDescent="0.25">
      <c r="I710" s="26"/>
    </row>
    <row r="711" spans="9:9" x14ac:dyDescent="0.25">
      <c r="I711" s="26"/>
    </row>
    <row r="712" spans="9:9" x14ac:dyDescent="0.25">
      <c r="I712" s="26"/>
    </row>
    <row r="713" spans="9:9" x14ac:dyDescent="0.25">
      <c r="I713" s="26"/>
    </row>
    <row r="714" spans="9:9" x14ac:dyDescent="0.25">
      <c r="I714" s="26"/>
    </row>
    <row r="715" spans="9:9" x14ac:dyDescent="0.25">
      <c r="I715" s="26"/>
    </row>
    <row r="716" spans="9:9" x14ac:dyDescent="0.25">
      <c r="I716" s="26"/>
    </row>
    <row r="717" spans="9:9" x14ac:dyDescent="0.25">
      <c r="I717" s="26"/>
    </row>
    <row r="718" spans="9:9" x14ac:dyDescent="0.25">
      <c r="I718" s="26"/>
    </row>
    <row r="719" spans="9:9" x14ac:dyDescent="0.25">
      <c r="I719" s="26"/>
    </row>
    <row r="720" spans="9:9" x14ac:dyDescent="0.25">
      <c r="I720" s="26"/>
    </row>
    <row r="721" spans="9:9" x14ac:dyDescent="0.25">
      <c r="I721" s="26"/>
    </row>
    <row r="722" spans="9:9" x14ac:dyDescent="0.25">
      <c r="I722" s="26"/>
    </row>
    <row r="723" spans="9:9" x14ac:dyDescent="0.25">
      <c r="I723" s="26"/>
    </row>
    <row r="724" spans="9:9" x14ac:dyDescent="0.25">
      <c r="I724" s="26"/>
    </row>
    <row r="725" spans="9:9" x14ac:dyDescent="0.25">
      <c r="I725" s="26"/>
    </row>
    <row r="726" spans="9:9" x14ac:dyDescent="0.25">
      <c r="I726" s="26"/>
    </row>
    <row r="727" spans="9:9" x14ac:dyDescent="0.25">
      <c r="I727" s="26"/>
    </row>
    <row r="728" spans="9:9" x14ac:dyDescent="0.25">
      <c r="I728" s="26"/>
    </row>
    <row r="729" spans="9:9" x14ac:dyDescent="0.25">
      <c r="I729" s="26"/>
    </row>
    <row r="730" spans="9:9" x14ac:dyDescent="0.25">
      <c r="I730" s="26"/>
    </row>
    <row r="731" spans="9:9" x14ac:dyDescent="0.25">
      <c r="I731" s="26"/>
    </row>
    <row r="732" spans="9:9" x14ac:dyDescent="0.25">
      <c r="I732" s="26"/>
    </row>
    <row r="733" spans="9:9" x14ac:dyDescent="0.25">
      <c r="I733" s="26"/>
    </row>
    <row r="734" spans="9:9" x14ac:dyDescent="0.25">
      <c r="I734" s="26"/>
    </row>
    <row r="735" spans="9:9" x14ac:dyDescent="0.25">
      <c r="I735" s="26"/>
    </row>
    <row r="736" spans="9:9" x14ac:dyDescent="0.25">
      <c r="I736" s="26"/>
    </row>
    <row r="737" spans="9:15" x14ac:dyDescent="0.25">
      <c r="I737" s="26"/>
    </row>
    <row r="738" spans="9:15" x14ac:dyDescent="0.25">
      <c r="I738" s="26"/>
    </row>
    <row r="739" spans="9:15" x14ac:dyDescent="0.25">
      <c r="I739" s="26"/>
    </row>
    <row r="740" spans="9:15" x14ac:dyDescent="0.25">
      <c r="I740" s="26"/>
    </row>
    <row r="741" spans="9:15" x14ac:dyDescent="0.25">
      <c r="I741" s="26"/>
    </row>
    <row r="742" spans="9:15" x14ac:dyDescent="0.25">
      <c r="I742" s="26"/>
    </row>
    <row r="743" spans="9:15" x14ac:dyDescent="0.25">
      <c r="I743" s="26"/>
    </row>
    <row r="744" spans="9:15" x14ac:dyDescent="0.25">
      <c r="I744" s="26"/>
    </row>
    <row r="745" spans="9:15" x14ac:dyDescent="0.25">
      <c r="I745" s="26"/>
    </row>
    <row r="746" spans="9:15" x14ac:dyDescent="0.25">
      <c r="I746" s="26"/>
    </row>
    <row r="747" spans="9:15" x14ac:dyDescent="0.25">
      <c r="I747" s="26"/>
    </row>
    <row r="748" spans="9:15" x14ac:dyDescent="0.25">
      <c r="I748" s="26"/>
    </row>
    <row r="749" spans="9:15" x14ac:dyDescent="0.25">
      <c r="I749" s="26"/>
    </row>
    <row r="750" spans="9:15" x14ac:dyDescent="0.25">
      <c r="J750"/>
    </row>
    <row r="751" spans="9:15" x14ac:dyDescent="0.25">
      <c r="J751"/>
      <c r="K751"/>
      <c r="L751"/>
      <c r="M751"/>
      <c r="N751"/>
      <c r="O751"/>
    </row>
    <row r="752" spans="9:15" x14ac:dyDescent="0.25">
      <c r="J752"/>
      <c r="K752"/>
      <c r="L752"/>
      <c r="M752"/>
      <c r="N752"/>
      <c r="O752"/>
    </row>
    <row r="753" spans="10:15" x14ac:dyDescent="0.25">
      <c r="J753"/>
      <c r="K753"/>
      <c r="L753"/>
      <c r="M753"/>
      <c r="N753"/>
      <c r="O753"/>
    </row>
    <row r="754" spans="10:15" x14ac:dyDescent="0.25">
      <c r="J754"/>
      <c r="K754"/>
      <c r="L754"/>
      <c r="M754"/>
      <c r="N754"/>
      <c r="O754"/>
    </row>
    <row r="755" spans="10:15" x14ac:dyDescent="0.25">
      <c r="J755"/>
      <c r="K755"/>
      <c r="L755"/>
      <c r="M755"/>
      <c r="N755"/>
      <c r="O755"/>
    </row>
    <row r="756" spans="10:15" x14ac:dyDescent="0.25">
      <c r="J756"/>
      <c r="K756"/>
      <c r="L756"/>
      <c r="M756"/>
      <c r="N756"/>
      <c r="O756"/>
    </row>
    <row r="757" spans="10:15" x14ac:dyDescent="0.25">
      <c r="J757"/>
      <c r="K757"/>
      <c r="L757"/>
      <c r="M757"/>
      <c r="N757"/>
      <c r="O757"/>
    </row>
    <row r="758" spans="10:15" x14ac:dyDescent="0.25">
      <c r="J758"/>
      <c r="K758"/>
      <c r="L758"/>
      <c r="M758"/>
      <c r="N758"/>
      <c r="O758"/>
    </row>
    <row r="759" spans="10:15" x14ac:dyDescent="0.25">
      <c r="J759"/>
      <c r="K759"/>
      <c r="L759"/>
      <c r="M759"/>
      <c r="N759"/>
      <c r="O759"/>
    </row>
    <row r="760" spans="10:15" x14ac:dyDescent="0.25">
      <c r="J760"/>
      <c r="K760"/>
      <c r="L760"/>
      <c r="M760"/>
      <c r="N760"/>
      <c r="O760"/>
    </row>
    <row r="761" spans="10:15" x14ac:dyDescent="0.25">
      <c r="J761"/>
      <c r="K761"/>
      <c r="L761"/>
      <c r="M761"/>
      <c r="N761"/>
      <c r="O761"/>
    </row>
    <row r="762" spans="10:15" x14ac:dyDescent="0.25">
      <c r="J762"/>
      <c r="K762"/>
      <c r="L762"/>
      <c r="M762"/>
      <c r="N762"/>
      <c r="O762"/>
    </row>
    <row r="763" spans="10:15" x14ac:dyDescent="0.25">
      <c r="J763"/>
      <c r="K763"/>
      <c r="L763"/>
      <c r="M763"/>
      <c r="N763"/>
      <c r="O763"/>
    </row>
    <row r="764" spans="10:15" x14ac:dyDescent="0.25">
      <c r="J764"/>
      <c r="K764"/>
      <c r="L764"/>
      <c r="M764"/>
      <c r="N764"/>
      <c r="O764"/>
    </row>
    <row r="765" spans="10:15" x14ac:dyDescent="0.25">
      <c r="J765"/>
      <c r="K765"/>
      <c r="L765"/>
      <c r="M765"/>
      <c r="N765"/>
      <c r="O765"/>
    </row>
    <row r="766" spans="10:15" x14ac:dyDescent="0.25">
      <c r="J766"/>
      <c r="K766"/>
      <c r="L766"/>
      <c r="M766"/>
      <c r="N766"/>
      <c r="O766"/>
    </row>
    <row r="767" spans="10:15" x14ac:dyDescent="0.25">
      <c r="J767"/>
      <c r="K767"/>
      <c r="L767"/>
      <c r="M767"/>
      <c r="N767"/>
      <c r="O767"/>
    </row>
    <row r="768" spans="10:15" x14ac:dyDescent="0.25">
      <c r="J768"/>
      <c r="K768"/>
      <c r="L768"/>
      <c r="M768"/>
      <c r="N768"/>
      <c r="O768"/>
    </row>
    <row r="769" spans="10:15" x14ac:dyDescent="0.25">
      <c r="J769"/>
      <c r="K769"/>
      <c r="L769"/>
      <c r="M769"/>
      <c r="N769"/>
      <c r="O769"/>
    </row>
    <row r="770" spans="10:15" x14ac:dyDescent="0.25">
      <c r="J770"/>
      <c r="K770"/>
      <c r="L770"/>
      <c r="M770"/>
      <c r="N770"/>
      <c r="O770"/>
    </row>
    <row r="771" spans="10:15" x14ac:dyDescent="0.25">
      <c r="J771"/>
      <c r="K771"/>
      <c r="L771"/>
      <c r="M771"/>
      <c r="N771"/>
      <c r="O771"/>
    </row>
    <row r="772" spans="10:15" x14ac:dyDescent="0.25">
      <c r="J772"/>
      <c r="K772"/>
      <c r="L772"/>
      <c r="M772"/>
      <c r="N772"/>
      <c r="O772"/>
    </row>
    <row r="773" spans="10:15" x14ac:dyDescent="0.25">
      <c r="J773"/>
      <c r="K773"/>
      <c r="L773"/>
      <c r="M773"/>
      <c r="N773"/>
      <c r="O773"/>
    </row>
    <row r="774" spans="10:15" x14ac:dyDescent="0.25">
      <c r="J774"/>
      <c r="K774"/>
      <c r="L774"/>
      <c r="M774"/>
      <c r="N774"/>
      <c r="O774"/>
    </row>
    <row r="775" spans="10:15" x14ac:dyDescent="0.25">
      <c r="J775"/>
      <c r="K775"/>
      <c r="L775"/>
      <c r="M775"/>
      <c r="N775"/>
      <c r="O775"/>
    </row>
    <row r="776" spans="10:15" x14ac:dyDescent="0.25">
      <c r="J776"/>
      <c r="K776"/>
      <c r="L776"/>
      <c r="M776"/>
      <c r="N776"/>
      <c r="O776"/>
    </row>
    <row r="777" spans="10:15" x14ac:dyDescent="0.25">
      <c r="J777"/>
      <c r="K777"/>
      <c r="L777"/>
      <c r="M777"/>
      <c r="N777"/>
      <c r="O777"/>
    </row>
    <row r="778" spans="10:15" x14ac:dyDescent="0.25">
      <c r="J778"/>
      <c r="K778"/>
      <c r="L778"/>
      <c r="M778"/>
      <c r="N778"/>
      <c r="O778"/>
    </row>
    <row r="779" spans="10:15" x14ac:dyDescent="0.25">
      <c r="J779"/>
      <c r="K779"/>
      <c r="L779"/>
      <c r="M779"/>
      <c r="N779"/>
      <c r="O779"/>
    </row>
    <row r="780" spans="10:15" x14ac:dyDescent="0.25">
      <c r="J780"/>
      <c r="K780"/>
      <c r="L780"/>
      <c r="M780"/>
      <c r="N780"/>
      <c r="O780"/>
    </row>
    <row r="781" spans="10:15" x14ac:dyDescent="0.25">
      <c r="J781"/>
      <c r="K781"/>
      <c r="L781"/>
      <c r="M781"/>
      <c r="N781"/>
      <c r="O781"/>
    </row>
    <row r="782" spans="10:15" x14ac:dyDescent="0.25">
      <c r="J782"/>
      <c r="K782"/>
      <c r="L782"/>
      <c r="M782"/>
      <c r="N782"/>
      <c r="O782"/>
    </row>
    <row r="783" spans="10:15" x14ac:dyDescent="0.25">
      <c r="J783"/>
      <c r="K783"/>
      <c r="L783"/>
      <c r="M783"/>
      <c r="N783"/>
      <c r="O783"/>
    </row>
    <row r="784" spans="10:15" x14ac:dyDescent="0.25">
      <c r="J784"/>
      <c r="K784"/>
      <c r="L784"/>
      <c r="M784"/>
      <c r="N784"/>
      <c r="O784"/>
    </row>
    <row r="785" spans="10:15" x14ac:dyDescent="0.25">
      <c r="J785"/>
      <c r="K785"/>
      <c r="L785"/>
      <c r="M785"/>
      <c r="N785"/>
      <c r="O785"/>
    </row>
    <row r="786" spans="10:15" x14ac:dyDescent="0.25">
      <c r="J786"/>
      <c r="K786"/>
      <c r="L786"/>
      <c r="M786"/>
      <c r="N786"/>
      <c r="O786"/>
    </row>
    <row r="787" spans="10:15" x14ac:dyDescent="0.25">
      <c r="J787"/>
      <c r="K787"/>
      <c r="L787"/>
      <c r="M787"/>
      <c r="N787"/>
      <c r="O787"/>
    </row>
    <row r="788" spans="10:15" x14ac:dyDescent="0.25">
      <c r="J788"/>
      <c r="K788"/>
      <c r="L788"/>
      <c r="M788"/>
      <c r="N788"/>
      <c r="O788"/>
    </row>
    <row r="789" spans="10:15" x14ac:dyDescent="0.25">
      <c r="J789"/>
      <c r="K789"/>
      <c r="L789"/>
      <c r="M789"/>
      <c r="N789"/>
      <c r="O789"/>
    </row>
    <row r="790" spans="10:15" x14ac:dyDescent="0.25">
      <c r="J790"/>
      <c r="K790"/>
      <c r="L790"/>
      <c r="M790"/>
      <c r="N790"/>
      <c r="O790"/>
    </row>
    <row r="791" spans="10:15" x14ac:dyDescent="0.25">
      <c r="J791"/>
      <c r="K791"/>
      <c r="L791"/>
      <c r="M791"/>
      <c r="N791"/>
      <c r="O791"/>
    </row>
    <row r="792" spans="10:15" x14ac:dyDescent="0.25">
      <c r="J792"/>
      <c r="K792"/>
      <c r="L792"/>
      <c r="M792"/>
      <c r="N792"/>
      <c r="O792"/>
    </row>
    <row r="793" spans="10:15" x14ac:dyDescent="0.25">
      <c r="J793"/>
      <c r="K793"/>
      <c r="L793"/>
      <c r="M793"/>
      <c r="N793"/>
      <c r="O793"/>
    </row>
    <row r="794" spans="10:15" x14ac:dyDescent="0.25">
      <c r="J794"/>
      <c r="K794"/>
      <c r="L794"/>
      <c r="M794"/>
      <c r="N794"/>
      <c r="O794"/>
    </row>
    <row r="795" spans="10:15" x14ac:dyDescent="0.25">
      <c r="J795"/>
      <c r="K795"/>
      <c r="L795"/>
      <c r="M795"/>
      <c r="N795"/>
      <c r="O795"/>
    </row>
    <row r="796" spans="10:15" x14ac:dyDescent="0.25">
      <c r="J796"/>
      <c r="K796"/>
      <c r="L796"/>
      <c r="M796"/>
      <c r="N796"/>
      <c r="O796"/>
    </row>
    <row r="797" spans="10:15" x14ac:dyDescent="0.25">
      <c r="J797"/>
      <c r="K797"/>
      <c r="L797"/>
      <c r="M797"/>
      <c r="N797"/>
      <c r="O797"/>
    </row>
    <row r="798" spans="10:15" x14ac:dyDescent="0.25">
      <c r="J798"/>
      <c r="K798"/>
      <c r="L798"/>
      <c r="M798"/>
      <c r="N798"/>
      <c r="O798"/>
    </row>
    <row r="799" spans="10:15" x14ac:dyDescent="0.25">
      <c r="J799"/>
      <c r="K799"/>
      <c r="L799"/>
      <c r="M799"/>
      <c r="N799"/>
      <c r="O799"/>
    </row>
    <row r="800" spans="10:15" x14ac:dyDescent="0.25">
      <c r="J800"/>
      <c r="K800"/>
      <c r="L800"/>
      <c r="M800"/>
      <c r="N800"/>
      <c r="O800"/>
    </row>
    <row r="801" spans="10:15" x14ac:dyDescent="0.25">
      <c r="J801"/>
      <c r="K801"/>
      <c r="L801"/>
      <c r="M801"/>
      <c r="N801"/>
      <c r="O801"/>
    </row>
    <row r="802" spans="10:15" x14ac:dyDescent="0.25">
      <c r="J802"/>
      <c r="K802"/>
      <c r="L802"/>
      <c r="M802"/>
      <c r="N802"/>
      <c r="O802"/>
    </row>
    <row r="803" spans="10:15" x14ac:dyDescent="0.25">
      <c r="J803"/>
      <c r="K803"/>
      <c r="L803"/>
      <c r="M803"/>
      <c r="N803"/>
      <c r="O803"/>
    </row>
    <row r="804" spans="10:15" x14ac:dyDescent="0.25">
      <c r="J804"/>
      <c r="K804"/>
      <c r="L804"/>
      <c r="M804"/>
      <c r="N804"/>
      <c r="O804"/>
    </row>
    <row r="805" spans="10:15" x14ac:dyDescent="0.25">
      <c r="J805"/>
      <c r="K805"/>
      <c r="L805"/>
      <c r="M805"/>
      <c r="N805"/>
      <c r="O805"/>
    </row>
    <row r="806" spans="10:15" x14ac:dyDescent="0.25">
      <c r="J806"/>
      <c r="K806"/>
      <c r="L806"/>
      <c r="M806"/>
      <c r="N806"/>
      <c r="O806"/>
    </row>
    <row r="807" spans="10:15" x14ac:dyDescent="0.25">
      <c r="J807"/>
      <c r="K807"/>
      <c r="L807"/>
      <c r="M807"/>
      <c r="N807"/>
      <c r="O807"/>
    </row>
    <row r="808" spans="10:15" x14ac:dyDescent="0.25">
      <c r="J808"/>
      <c r="K808"/>
      <c r="L808"/>
      <c r="M808"/>
      <c r="N808"/>
      <c r="O808"/>
    </row>
    <row r="809" spans="10:15" x14ac:dyDescent="0.25">
      <c r="J809"/>
      <c r="K809"/>
      <c r="L809"/>
      <c r="M809"/>
      <c r="N809"/>
      <c r="O809"/>
    </row>
    <row r="810" spans="10:15" x14ac:dyDescent="0.25">
      <c r="J810"/>
      <c r="K810"/>
      <c r="L810"/>
      <c r="M810"/>
      <c r="N810"/>
      <c r="O810"/>
    </row>
    <row r="811" spans="10:15" x14ac:dyDescent="0.25">
      <c r="J811"/>
      <c r="K811"/>
      <c r="L811"/>
      <c r="M811"/>
      <c r="N811"/>
      <c r="O811"/>
    </row>
    <row r="812" spans="10:15" x14ac:dyDescent="0.25">
      <c r="J812"/>
      <c r="K812"/>
      <c r="L812"/>
      <c r="M812"/>
      <c r="N812"/>
      <c r="O812"/>
    </row>
    <row r="813" spans="10:15" x14ac:dyDescent="0.25">
      <c r="J813"/>
      <c r="K813"/>
      <c r="L813"/>
      <c r="M813"/>
      <c r="N813"/>
      <c r="O813"/>
    </row>
    <row r="814" spans="10:15" x14ac:dyDescent="0.25">
      <c r="J814"/>
      <c r="K814"/>
      <c r="L814"/>
      <c r="M814"/>
      <c r="N814"/>
      <c r="O814"/>
    </row>
    <row r="815" spans="10:15" x14ac:dyDescent="0.25">
      <c r="J815"/>
      <c r="K815"/>
      <c r="L815"/>
      <c r="M815"/>
      <c r="N815"/>
      <c r="O815"/>
    </row>
    <row r="816" spans="10:15" x14ac:dyDescent="0.25">
      <c r="J816"/>
      <c r="K816"/>
      <c r="L816"/>
      <c r="M816"/>
      <c r="N816"/>
      <c r="O816"/>
    </row>
    <row r="817" spans="10:15" x14ac:dyDescent="0.25">
      <c r="J817"/>
      <c r="K817"/>
      <c r="L817"/>
      <c r="M817"/>
      <c r="N817"/>
      <c r="O817"/>
    </row>
    <row r="818" spans="10:15" x14ac:dyDescent="0.25">
      <c r="J818"/>
      <c r="K818"/>
      <c r="L818"/>
      <c r="M818"/>
      <c r="N818"/>
      <c r="O818"/>
    </row>
    <row r="819" spans="10:15" x14ac:dyDescent="0.25">
      <c r="J819"/>
      <c r="K819"/>
      <c r="L819"/>
      <c r="M819"/>
      <c r="N819"/>
      <c r="O819"/>
    </row>
    <row r="820" spans="10:15" x14ac:dyDescent="0.25">
      <c r="J820"/>
      <c r="K820"/>
      <c r="L820"/>
      <c r="M820"/>
      <c r="N820"/>
      <c r="O820"/>
    </row>
    <row r="821" spans="10:15" x14ac:dyDescent="0.25">
      <c r="J821"/>
      <c r="K821"/>
      <c r="L821"/>
      <c r="M821"/>
      <c r="N821"/>
      <c r="O821"/>
    </row>
    <row r="822" spans="10:15" x14ac:dyDescent="0.25">
      <c r="J822"/>
      <c r="K822"/>
      <c r="L822"/>
      <c r="M822"/>
      <c r="N822"/>
      <c r="O822"/>
    </row>
    <row r="823" spans="10:15" x14ac:dyDescent="0.25">
      <c r="J823"/>
      <c r="K823"/>
      <c r="L823"/>
      <c r="M823"/>
      <c r="N823"/>
      <c r="O823"/>
    </row>
    <row r="824" spans="10:15" x14ac:dyDescent="0.25">
      <c r="J824"/>
      <c r="K824"/>
      <c r="L824"/>
      <c r="M824"/>
      <c r="N824"/>
      <c r="O824"/>
    </row>
    <row r="825" spans="10:15" x14ac:dyDescent="0.25">
      <c r="J825"/>
      <c r="K825"/>
      <c r="L825"/>
      <c r="M825"/>
      <c r="N825"/>
      <c r="O825"/>
    </row>
    <row r="826" spans="10:15" x14ac:dyDescent="0.25">
      <c r="J826"/>
      <c r="K826"/>
      <c r="L826"/>
      <c r="M826"/>
      <c r="N826"/>
      <c r="O826"/>
    </row>
    <row r="827" spans="10:15" x14ac:dyDescent="0.25">
      <c r="J827"/>
      <c r="K827"/>
      <c r="L827"/>
      <c r="M827"/>
      <c r="N827"/>
      <c r="O827"/>
    </row>
    <row r="828" spans="10:15" x14ac:dyDescent="0.25">
      <c r="J828"/>
      <c r="K828"/>
      <c r="L828"/>
      <c r="M828"/>
      <c r="N828"/>
      <c r="O828"/>
    </row>
    <row r="829" spans="10:15" x14ac:dyDescent="0.25">
      <c r="J829"/>
      <c r="K829"/>
      <c r="L829"/>
      <c r="M829"/>
      <c r="N829"/>
      <c r="O829"/>
    </row>
    <row r="830" spans="10:15" x14ac:dyDescent="0.25">
      <c r="J830"/>
      <c r="K830"/>
      <c r="L830"/>
      <c r="M830"/>
      <c r="N830"/>
      <c r="O830"/>
    </row>
    <row r="831" spans="10:15" x14ac:dyDescent="0.25">
      <c r="J831"/>
      <c r="K831"/>
      <c r="L831"/>
      <c r="M831"/>
      <c r="N831"/>
      <c r="O831"/>
    </row>
    <row r="832" spans="10:15" x14ac:dyDescent="0.25">
      <c r="J832"/>
      <c r="K832"/>
      <c r="L832"/>
      <c r="M832"/>
      <c r="N832"/>
      <c r="O832"/>
    </row>
    <row r="833" spans="10:15" x14ac:dyDescent="0.25">
      <c r="J833"/>
      <c r="K833"/>
      <c r="L833"/>
      <c r="M833"/>
      <c r="N833"/>
      <c r="O833"/>
    </row>
    <row r="834" spans="10:15" x14ac:dyDescent="0.25">
      <c r="J834"/>
      <c r="K834"/>
      <c r="L834"/>
      <c r="M834"/>
      <c r="N834"/>
      <c r="O834"/>
    </row>
    <row r="835" spans="10:15" x14ac:dyDescent="0.25">
      <c r="J835"/>
      <c r="K835"/>
      <c r="L835"/>
      <c r="M835"/>
      <c r="N835"/>
      <c r="O835"/>
    </row>
    <row r="836" spans="10:15" x14ac:dyDescent="0.25">
      <c r="J836"/>
      <c r="K836"/>
      <c r="L836"/>
      <c r="M836"/>
      <c r="N836"/>
      <c r="O836"/>
    </row>
    <row r="837" spans="10:15" x14ac:dyDescent="0.25">
      <c r="J837"/>
      <c r="K837"/>
      <c r="L837"/>
      <c r="M837"/>
      <c r="N837"/>
      <c r="O837"/>
    </row>
    <row r="838" spans="10:15" x14ac:dyDescent="0.25">
      <c r="J838"/>
      <c r="K838"/>
      <c r="L838"/>
      <c r="M838"/>
      <c r="N838"/>
      <c r="O838"/>
    </row>
    <row r="839" spans="10:15" x14ac:dyDescent="0.25">
      <c r="J839"/>
      <c r="K839"/>
      <c r="L839"/>
      <c r="M839"/>
      <c r="N839"/>
      <c r="O839"/>
    </row>
    <row r="840" spans="10:15" x14ac:dyDescent="0.25">
      <c r="J840"/>
      <c r="K840"/>
      <c r="L840"/>
      <c r="M840"/>
      <c r="N840"/>
      <c r="O840"/>
    </row>
    <row r="841" spans="10:15" x14ac:dyDescent="0.25">
      <c r="J841"/>
      <c r="K841"/>
      <c r="L841"/>
      <c r="M841"/>
      <c r="N841"/>
      <c r="O841"/>
    </row>
    <row r="842" spans="10:15" x14ac:dyDescent="0.25">
      <c r="J842"/>
      <c r="K842"/>
      <c r="L842"/>
      <c r="M842"/>
      <c r="N842"/>
      <c r="O842"/>
    </row>
    <row r="843" spans="10:15" x14ac:dyDescent="0.25">
      <c r="J843"/>
      <c r="K843"/>
      <c r="L843"/>
      <c r="M843"/>
      <c r="N843"/>
      <c r="O843"/>
    </row>
    <row r="844" spans="10:15" x14ac:dyDescent="0.25">
      <c r="J844"/>
      <c r="K844"/>
      <c r="L844"/>
      <c r="M844"/>
      <c r="N844"/>
      <c r="O844"/>
    </row>
    <row r="845" spans="10:15" x14ac:dyDescent="0.25">
      <c r="J845"/>
      <c r="K845"/>
      <c r="L845"/>
      <c r="M845"/>
      <c r="N845"/>
      <c r="O845"/>
    </row>
    <row r="846" spans="10:15" x14ac:dyDescent="0.25">
      <c r="J846"/>
      <c r="K846"/>
      <c r="L846"/>
      <c r="M846"/>
      <c r="N846"/>
      <c r="O846"/>
    </row>
    <row r="847" spans="10:15" x14ac:dyDescent="0.25">
      <c r="J847"/>
      <c r="K847"/>
      <c r="L847"/>
      <c r="M847"/>
      <c r="N847"/>
      <c r="O847"/>
    </row>
    <row r="848" spans="10:15" x14ac:dyDescent="0.25">
      <c r="J848"/>
      <c r="K848"/>
      <c r="L848"/>
      <c r="M848"/>
      <c r="N848"/>
      <c r="O848"/>
    </row>
    <row r="849" spans="10:15" x14ac:dyDescent="0.25">
      <c r="J849"/>
      <c r="K849"/>
      <c r="L849"/>
      <c r="M849"/>
      <c r="N849"/>
      <c r="O849"/>
    </row>
    <row r="850" spans="10:15" x14ac:dyDescent="0.25">
      <c r="J850"/>
      <c r="K850"/>
      <c r="L850"/>
      <c r="M850"/>
      <c r="N850"/>
      <c r="O850"/>
    </row>
    <row r="851" spans="10:15" x14ac:dyDescent="0.25">
      <c r="J851"/>
      <c r="K851"/>
      <c r="L851"/>
      <c r="M851"/>
      <c r="N851"/>
      <c r="O851"/>
    </row>
    <row r="852" spans="10:15" x14ac:dyDescent="0.25">
      <c r="J852"/>
      <c r="K852"/>
      <c r="L852"/>
      <c r="M852"/>
      <c r="N852"/>
      <c r="O852"/>
    </row>
    <row r="853" spans="10:15" x14ac:dyDescent="0.25">
      <c r="J853"/>
      <c r="K853"/>
      <c r="L853"/>
      <c r="M853"/>
      <c r="N853"/>
      <c r="O853"/>
    </row>
    <row r="854" spans="10:15" x14ac:dyDescent="0.25">
      <c r="J854"/>
      <c r="K854"/>
      <c r="L854"/>
      <c r="M854"/>
      <c r="N854"/>
      <c r="O854"/>
    </row>
    <row r="855" spans="10:15" x14ac:dyDescent="0.25">
      <c r="J855"/>
      <c r="K855"/>
      <c r="L855"/>
      <c r="M855"/>
      <c r="N855"/>
      <c r="O855"/>
    </row>
    <row r="856" spans="10:15" x14ac:dyDescent="0.25">
      <c r="J856"/>
      <c r="K856"/>
      <c r="L856"/>
      <c r="M856"/>
      <c r="N856"/>
      <c r="O856"/>
    </row>
    <row r="857" spans="10:15" x14ac:dyDescent="0.25">
      <c r="J857"/>
      <c r="K857"/>
      <c r="L857"/>
      <c r="M857"/>
      <c r="N857"/>
      <c r="O857"/>
    </row>
    <row r="858" spans="10:15" x14ac:dyDescent="0.25">
      <c r="J858"/>
      <c r="K858"/>
      <c r="L858"/>
      <c r="M858"/>
      <c r="N858"/>
      <c r="O858"/>
    </row>
    <row r="859" spans="10:15" x14ac:dyDescent="0.25">
      <c r="J859"/>
      <c r="K859"/>
      <c r="L859"/>
      <c r="M859"/>
      <c r="N859"/>
      <c r="O859"/>
    </row>
    <row r="860" spans="10:15" x14ac:dyDescent="0.25">
      <c r="J860"/>
      <c r="K860"/>
      <c r="L860"/>
      <c r="M860"/>
      <c r="N860"/>
      <c r="O860"/>
    </row>
    <row r="861" spans="10:15" x14ac:dyDescent="0.25">
      <c r="J861"/>
      <c r="K861"/>
      <c r="L861"/>
      <c r="M861"/>
      <c r="N861"/>
      <c r="O861"/>
    </row>
    <row r="862" spans="10:15" x14ac:dyDescent="0.25">
      <c r="J862"/>
      <c r="K862"/>
      <c r="L862"/>
      <c r="M862"/>
      <c r="N862"/>
      <c r="O862"/>
    </row>
    <row r="863" spans="10:15" x14ac:dyDescent="0.25">
      <c r="J863"/>
      <c r="K863"/>
      <c r="L863"/>
      <c r="M863"/>
      <c r="N863"/>
      <c r="O863"/>
    </row>
    <row r="864" spans="10:15" x14ac:dyDescent="0.25">
      <c r="J864"/>
      <c r="K864"/>
      <c r="L864"/>
      <c r="M864"/>
      <c r="N864"/>
      <c r="O864"/>
    </row>
    <row r="865" spans="10:15" x14ac:dyDescent="0.25">
      <c r="J865"/>
      <c r="K865"/>
      <c r="L865"/>
      <c r="M865"/>
      <c r="N865"/>
      <c r="O865"/>
    </row>
    <row r="866" spans="10:15" x14ac:dyDescent="0.25">
      <c r="J866"/>
      <c r="K866"/>
      <c r="L866"/>
      <c r="M866"/>
      <c r="N866"/>
      <c r="O866"/>
    </row>
    <row r="867" spans="10:15" x14ac:dyDescent="0.25">
      <c r="J867"/>
      <c r="K867"/>
      <c r="L867"/>
      <c r="M867"/>
      <c r="N867"/>
      <c r="O867"/>
    </row>
    <row r="868" spans="10:15" x14ac:dyDescent="0.25">
      <c r="J868"/>
      <c r="K868"/>
      <c r="L868"/>
      <c r="M868"/>
      <c r="N868"/>
      <c r="O868"/>
    </row>
    <row r="869" spans="10:15" x14ac:dyDescent="0.25">
      <c r="J869"/>
      <c r="K869"/>
      <c r="L869"/>
      <c r="M869"/>
      <c r="N869"/>
      <c r="O869"/>
    </row>
    <row r="870" spans="10:15" x14ac:dyDescent="0.25">
      <c r="J870"/>
      <c r="K870"/>
      <c r="L870"/>
      <c r="M870"/>
      <c r="N870"/>
      <c r="O870"/>
    </row>
    <row r="871" spans="10:15" x14ac:dyDescent="0.25">
      <c r="J871"/>
      <c r="K871"/>
      <c r="L871"/>
      <c r="M871"/>
      <c r="N871"/>
      <c r="O871"/>
    </row>
    <row r="872" spans="10:15" x14ac:dyDescent="0.25">
      <c r="J872"/>
      <c r="K872"/>
      <c r="L872"/>
      <c r="M872"/>
      <c r="N872"/>
      <c r="O872"/>
    </row>
    <row r="873" spans="10:15" x14ac:dyDescent="0.25">
      <c r="J873"/>
      <c r="K873"/>
      <c r="L873"/>
      <c r="M873"/>
      <c r="N873"/>
      <c r="O873"/>
    </row>
    <row r="874" spans="10:15" x14ac:dyDescent="0.25">
      <c r="J874"/>
      <c r="K874"/>
      <c r="L874"/>
      <c r="M874"/>
      <c r="N874"/>
      <c r="O874"/>
    </row>
    <row r="875" spans="10:15" x14ac:dyDescent="0.25">
      <c r="J875"/>
      <c r="K875"/>
      <c r="L875"/>
      <c r="M875"/>
      <c r="N875"/>
      <c r="O875"/>
    </row>
    <row r="876" spans="10:15" x14ac:dyDescent="0.25">
      <c r="J876"/>
      <c r="K876"/>
      <c r="L876"/>
      <c r="M876"/>
      <c r="N876"/>
      <c r="O876"/>
    </row>
    <row r="877" spans="10:15" x14ac:dyDescent="0.25">
      <c r="J877"/>
      <c r="K877"/>
      <c r="L877"/>
      <c r="M877"/>
      <c r="N877"/>
      <c r="O877"/>
    </row>
    <row r="878" spans="10:15" x14ac:dyDescent="0.25">
      <c r="J878"/>
      <c r="K878"/>
      <c r="L878"/>
      <c r="M878"/>
      <c r="N878"/>
      <c r="O878"/>
    </row>
    <row r="879" spans="10:15" x14ac:dyDescent="0.25">
      <c r="J879"/>
      <c r="K879"/>
      <c r="L879"/>
      <c r="M879"/>
      <c r="N879"/>
      <c r="O879"/>
    </row>
    <row r="880" spans="10:15" x14ac:dyDescent="0.25">
      <c r="J880"/>
      <c r="K880"/>
      <c r="L880"/>
      <c r="M880"/>
      <c r="N880"/>
      <c r="O880"/>
    </row>
    <row r="881" spans="10:15" x14ac:dyDescent="0.25">
      <c r="J881"/>
      <c r="K881"/>
      <c r="L881"/>
      <c r="M881"/>
      <c r="N881"/>
      <c r="O881"/>
    </row>
    <row r="882" spans="10:15" x14ac:dyDescent="0.25">
      <c r="J882"/>
      <c r="K882"/>
      <c r="L882"/>
      <c r="M882"/>
      <c r="N882"/>
      <c r="O882"/>
    </row>
    <row r="883" spans="10:15" x14ac:dyDescent="0.25">
      <c r="J883"/>
      <c r="K883"/>
      <c r="L883"/>
      <c r="M883"/>
      <c r="N883"/>
      <c r="O883"/>
    </row>
    <row r="884" spans="10:15" x14ac:dyDescent="0.25">
      <c r="J884"/>
      <c r="K884"/>
      <c r="L884"/>
      <c r="M884"/>
      <c r="N884"/>
      <c r="O884"/>
    </row>
    <row r="885" spans="10:15" x14ac:dyDescent="0.25">
      <c r="J885"/>
      <c r="K885"/>
      <c r="L885"/>
      <c r="M885"/>
      <c r="N885"/>
      <c r="O885"/>
    </row>
    <row r="886" spans="10:15" x14ac:dyDescent="0.25">
      <c r="J886"/>
      <c r="K886"/>
      <c r="L886"/>
      <c r="M886"/>
      <c r="N886"/>
      <c r="O886"/>
    </row>
    <row r="887" spans="10:15" x14ac:dyDescent="0.25">
      <c r="J887"/>
      <c r="K887"/>
      <c r="L887"/>
      <c r="M887"/>
      <c r="N887"/>
      <c r="O887"/>
    </row>
    <row r="888" spans="10:15" x14ac:dyDescent="0.25">
      <c r="J888"/>
      <c r="K888"/>
      <c r="L888"/>
      <c r="M888"/>
      <c r="N888"/>
      <c r="O888"/>
    </row>
    <row r="889" spans="10:15" x14ac:dyDescent="0.25">
      <c r="J889"/>
      <c r="K889"/>
      <c r="L889"/>
      <c r="M889"/>
      <c r="N889"/>
      <c r="O889"/>
    </row>
    <row r="890" spans="10:15" x14ac:dyDescent="0.25">
      <c r="J890"/>
      <c r="K890"/>
      <c r="L890"/>
      <c r="M890"/>
      <c r="N890"/>
      <c r="O890"/>
    </row>
    <row r="891" spans="10:15" x14ac:dyDescent="0.25">
      <c r="J891"/>
      <c r="K891"/>
      <c r="L891"/>
      <c r="M891"/>
      <c r="N891"/>
      <c r="O891"/>
    </row>
    <row r="892" spans="10:15" x14ac:dyDescent="0.25">
      <c r="J892"/>
      <c r="K892"/>
      <c r="L892"/>
      <c r="M892"/>
      <c r="N892"/>
      <c r="O892"/>
    </row>
    <row r="893" spans="10:15" x14ac:dyDescent="0.25">
      <c r="J893"/>
      <c r="K893"/>
      <c r="L893"/>
      <c r="M893"/>
      <c r="N893"/>
      <c r="O893"/>
    </row>
    <row r="894" spans="10:15" x14ac:dyDescent="0.25">
      <c r="J894"/>
      <c r="K894"/>
      <c r="L894"/>
      <c r="M894"/>
      <c r="N894"/>
      <c r="O894"/>
    </row>
    <row r="895" spans="10:15" x14ac:dyDescent="0.25">
      <c r="J895"/>
      <c r="K895"/>
      <c r="L895"/>
      <c r="M895"/>
      <c r="N895"/>
      <c r="O895"/>
    </row>
    <row r="896" spans="10:15" x14ac:dyDescent="0.25">
      <c r="J896"/>
      <c r="K896"/>
      <c r="L896"/>
      <c r="M896"/>
      <c r="N896"/>
      <c r="O896"/>
    </row>
    <row r="897" spans="10:15" x14ac:dyDescent="0.25">
      <c r="J897"/>
      <c r="K897"/>
      <c r="L897"/>
      <c r="M897"/>
      <c r="N897"/>
      <c r="O897"/>
    </row>
    <row r="898" spans="10:15" x14ac:dyDescent="0.25">
      <c r="J898"/>
      <c r="K898"/>
      <c r="L898"/>
      <c r="M898"/>
      <c r="N898"/>
      <c r="O898"/>
    </row>
    <row r="899" spans="10:15" x14ac:dyDescent="0.25">
      <c r="J899"/>
      <c r="K899"/>
      <c r="L899"/>
      <c r="M899"/>
      <c r="N899"/>
      <c r="O899"/>
    </row>
    <row r="900" spans="10:15" x14ac:dyDescent="0.25">
      <c r="J900"/>
      <c r="K900"/>
      <c r="L900"/>
      <c r="M900"/>
      <c r="N900"/>
      <c r="O900"/>
    </row>
    <row r="901" spans="10:15" x14ac:dyDescent="0.25">
      <c r="J901"/>
      <c r="K901"/>
      <c r="L901"/>
      <c r="M901"/>
      <c r="N901"/>
      <c r="O901"/>
    </row>
    <row r="902" spans="10:15" x14ac:dyDescent="0.25">
      <c r="J902"/>
      <c r="K902"/>
      <c r="L902"/>
      <c r="M902"/>
      <c r="N902"/>
      <c r="O902"/>
    </row>
    <row r="903" spans="10:15" x14ac:dyDescent="0.25">
      <c r="J903"/>
      <c r="K903"/>
      <c r="L903"/>
      <c r="M903"/>
      <c r="N903"/>
      <c r="O903"/>
    </row>
    <row r="904" spans="10:15" x14ac:dyDescent="0.25">
      <c r="J904"/>
      <c r="K904"/>
      <c r="L904"/>
      <c r="M904"/>
      <c r="N904"/>
      <c r="O904"/>
    </row>
    <row r="905" spans="10:15" x14ac:dyDescent="0.25">
      <c r="J905"/>
      <c r="K905"/>
      <c r="L905"/>
      <c r="M905"/>
      <c r="N905"/>
      <c r="O905"/>
    </row>
    <row r="906" spans="10:15" x14ac:dyDescent="0.25">
      <c r="J906"/>
      <c r="K906"/>
      <c r="L906"/>
      <c r="M906"/>
      <c r="N906"/>
      <c r="O906"/>
    </row>
    <row r="907" spans="10:15" x14ac:dyDescent="0.25">
      <c r="J907"/>
      <c r="K907"/>
      <c r="L907"/>
      <c r="M907"/>
      <c r="N907"/>
      <c r="O907"/>
    </row>
    <row r="908" spans="10:15" x14ac:dyDescent="0.25">
      <c r="J908"/>
      <c r="K908"/>
      <c r="L908"/>
      <c r="M908"/>
      <c r="N908"/>
      <c r="O908"/>
    </row>
    <row r="909" spans="10:15" x14ac:dyDescent="0.25">
      <c r="J909"/>
      <c r="K909"/>
      <c r="L909"/>
      <c r="M909"/>
      <c r="N909"/>
      <c r="O909"/>
    </row>
    <row r="910" spans="10:15" x14ac:dyDescent="0.25">
      <c r="J910"/>
      <c r="K910"/>
      <c r="L910"/>
      <c r="M910"/>
      <c r="N910"/>
      <c r="O910"/>
    </row>
    <row r="911" spans="10:15" x14ac:dyDescent="0.25">
      <c r="J911"/>
      <c r="K911"/>
      <c r="L911"/>
      <c r="M911"/>
      <c r="N911"/>
      <c r="O911"/>
    </row>
    <row r="912" spans="10:15" x14ac:dyDescent="0.25">
      <c r="J912"/>
      <c r="K912"/>
      <c r="L912"/>
      <c r="M912"/>
      <c r="N912"/>
      <c r="O912"/>
    </row>
    <row r="913" spans="10:15" x14ac:dyDescent="0.25">
      <c r="J913"/>
      <c r="K913"/>
      <c r="L913"/>
      <c r="M913"/>
      <c r="N913"/>
      <c r="O913"/>
    </row>
    <row r="914" spans="10:15" x14ac:dyDescent="0.25">
      <c r="J914"/>
      <c r="K914"/>
      <c r="L914"/>
      <c r="M914"/>
      <c r="N914"/>
      <c r="O914"/>
    </row>
    <row r="915" spans="10:15" x14ac:dyDescent="0.25">
      <c r="J915"/>
      <c r="K915"/>
      <c r="L915"/>
      <c r="M915"/>
      <c r="N915"/>
      <c r="O915"/>
    </row>
    <row r="916" spans="10:15" x14ac:dyDescent="0.25">
      <c r="J916"/>
      <c r="K916"/>
      <c r="L916"/>
      <c r="M916"/>
      <c r="N916"/>
      <c r="O916"/>
    </row>
    <row r="917" spans="10:15" x14ac:dyDescent="0.25">
      <c r="J917"/>
      <c r="K917"/>
      <c r="L917"/>
      <c r="M917"/>
      <c r="N917"/>
      <c r="O917"/>
    </row>
    <row r="918" spans="10:15" x14ac:dyDescent="0.25">
      <c r="J918"/>
      <c r="K918"/>
      <c r="L918"/>
      <c r="M918"/>
      <c r="N918"/>
      <c r="O918"/>
    </row>
    <row r="919" spans="10:15" x14ac:dyDescent="0.25">
      <c r="J919"/>
      <c r="K919"/>
      <c r="L919"/>
      <c r="M919"/>
      <c r="N919"/>
      <c r="O919"/>
    </row>
    <row r="920" spans="10:15" x14ac:dyDescent="0.25">
      <c r="J920"/>
      <c r="K920"/>
      <c r="L920"/>
      <c r="M920"/>
      <c r="N920"/>
      <c r="O920"/>
    </row>
    <row r="921" spans="10:15" x14ac:dyDescent="0.25">
      <c r="J921"/>
      <c r="K921"/>
      <c r="L921"/>
      <c r="M921"/>
      <c r="N921"/>
      <c r="O921"/>
    </row>
    <row r="922" spans="10:15" x14ac:dyDescent="0.25">
      <c r="J922"/>
      <c r="K922"/>
      <c r="L922"/>
      <c r="M922"/>
      <c r="N922"/>
      <c r="O922"/>
    </row>
    <row r="923" spans="10:15" x14ac:dyDescent="0.25">
      <c r="J923"/>
      <c r="K923"/>
      <c r="L923"/>
      <c r="M923"/>
      <c r="N923"/>
      <c r="O923"/>
    </row>
    <row r="924" spans="10:15" x14ac:dyDescent="0.25">
      <c r="J924"/>
      <c r="K924"/>
      <c r="L924"/>
      <c r="M924"/>
      <c r="N924"/>
      <c r="O924"/>
    </row>
    <row r="925" spans="10:15" x14ac:dyDescent="0.25">
      <c r="J925"/>
      <c r="K925"/>
      <c r="L925"/>
      <c r="M925"/>
      <c r="N925"/>
      <c r="O925"/>
    </row>
    <row r="926" spans="10:15" x14ac:dyDescent="0.25">
      <c r="J926"/>
      <c r="K926"/>
      <c r="L926"/>
      <c r="M926"/>
      <c r="N926"/>
      <c r="O926"/>
    </row>
    <row r="927" spans="10:15" x14ac:dyDescent="0.25">
      <c r="J927"/>
      <c r="K927"/>
      <c r="L927"/>
      <c r="M927"/>
      <c r="N927"/>
      <c r="O927"/>
    </row>
    <row r="928" spans="10:15" x14ac:dyDescent="0.25">
      <c r="J928"/>
      <c r="K928"/>
      <c r="L928"/>
      <c r="M928"/>
      <c r="N928"/>
      <c r="O928"/>
    </row>
    <row r="929" spans="10:15" x14ac:dyDescent="0.25">
      <c r="J929"/>
      <c r="K929"/>
      <c r="L929"/>
      <c r="M929"/>
      <c r="N929"/>
      <c r="O929"/>
    </row>
    <row r="930" spans="10:15" x14ac:dyDescent="0.25">
      <c r="J930"/>
      <c r="K930"/>
      <c r="L930"/>
      <c r="M930"/>
      <c r="N930"/>
      <c r="O930"/>
    </row>
    <row r="931" spans="10:15" x14ac:dyDescent="0.25">
      <c r="J931"/>
      <c r="K931"/>
      <c r="L931"/>
      <c r="M931"/>
      <c r="N931"/>
      <c r="O931"/>
    </row>
    <row r="932" spans="10:15" x14ac:dyDescent="0.25">
      <c r="J932"/>
      <c r="K932"/>
      <c r="L932"/>
      <c r="M932"/>
      <c r="N932"/>
      <c r="O932"/>
    </row>
    <row r="933" spans="10:15" x14ac:dyDescent="0.25">
      <c r="J933"/>
      <c r="K933"/>
      <c r="L933"/>
      <c r="M933"/>
      <c r="N933"/>
      <c r="O933"/>
    </row>
    <row r="934" spans="10:15" x14ac:dyDescent="0.25">
      <c r="J934"/>
      <c r="K934"/>
      <c r="L934"/>
      <c r="M934"/>
      <c r="N934"/>
      <c r="O934"/>
    </row>
    <row r="935" spans="10:15" x14ac:dyDescent="0.25">
      <c r="J935"/>
      <c r="K935"/>
      <c r="L935"/>
      <c r="M935"/>
      <c r="N935"/>
      <c r="O935"/>
    </row>
    <row r="936" spans="10:15" x14ac:dyDescent="0.25">
      <c r="J936"/>
      <c r="K936"/>
      <c r="L936"/>
      <c r="M936"/>
      <c r="N936"/>
      <c r="O936"/>
    </row>
    <row r="937" spans="10:15" x14ac:dyDescent="0.25">
      <c r="J937"/>
      <c r="K937"/>
      <c r="L937"/>
      <c r="M937"/>
      <c r="N937"/>
      <c r="O937"/>
    </row>
    <row r="938" spans="10:15" x14ac:dyDescent="0.25">
      <c r="J938"/>
      <c r="K938"/>
      <c r="L938"/>
      <c r="M938"/>
      <c r="N938"/>
      <c r="O938"/>
    </row>
    <row r="939" spans="10:15" x14ac:dyDescent="0.25">
      <c r="J939"/>
      <c r="K939"/>
      <c r="L939"/>
      <c r="M939"/>
      <c r="N939"/>
      <c r="O939"/>
    </row>
    <row r="940" spans="10:15" x14ac:dyDescent="0.25">
      <c r="J940"/>
      <c r="K940"/>
      <c r="L940"/>
      <c r="M940"/>
      <c r="N940"/>
      <c r="O940"/>
    </row>
    <row r="941" spans="10:15" x14ac:dyDescent="0.25">
      <c r="J941"/>
      <c r="K941"/>
      <c r="L941"/>
      <c r="M941"/>
      <c r="N941"/>
      <c r="O941"/>
    </row>
    <row r="942" spans="10:15" x14ac:dyDescent="0.25">
      <c r="J942"/>
      <c r="K942"/>
      <c r="L942"/>
      <c r="M942"/>
      <c r="N942"/>
      <c r="O942"/>
    </row>
    <row r="943" spans="10:15" x14ac:dyDescent="0.25">
      <c r="J943"/>
      <c r="K943"/>
      <c r="L943"/>
      <c r="M943"/>
      <c r="N943"/>
      <c r="O943"/>
    </row>
    <row r="944" spans="10:15" x14ac:dyDescent="0.25">
      <c r="J944"/>
      <c r="K944"/>
      <c r="L944"/>
      <c r="M944"/>
      <c r="N944"/>
      <c r="O944"/>
    </row>
    <row r="945" spans="10:15" x14ac:dyDescent="0.25">
      <c r="J945"/>
      <c r="K945"/>
      <c r="L945"/>
      <c r="M945"/>
      <c r="N945"/>
      <c r="O945"/>
    </row>
    <row r="946" spans="10:15" x14ac:dyDescent="0.25">
      <c r="J946"/>
      <c r="K946"/>
      <c r="L946"/>
      <c r="M946"/>
      <c r="N946"/>
      <c r="O946"/>
    </row>
    <row r="947" spans="10:15" x14ac:dyDescent="0.25">
      <c r="J947"/>
      <c r="K947"/>
      <c r="L947"/>
      <c r="M947"/>
      <c r="N947"/>
      <c r="O947"/>
    </row>
    <row r="948" spans="10:15" x14ac:dyDescent="0.25">
      <c r="J948"/>
      <c r="K948"/>
      <c r="L948"/>
      <c r="M948"/>
      <c r="N948"/>
      <c r="O948"/>
    </row>
    <row r="949" spans="10:15" x14ac:dyDescent="0.25">
      <c r="J949"/>
      <c r="K949"/>
      <c r="L949"/>
      <c r="M949"/>
      <c r="N949"/>
      <c r="O949"/>
    </row>
    <row r="950" spans="10:15" x14ac:dyDescent="0.25">
      <c r="J950"/>
      <c r="K950"/>
      <c r="L950"/>
      <c r="M950"/>
      <c r="N950"/>
      <c r="O950"/>
    </row>
    <row r="951" spans="10:15" x14ac:dyDescent="0.25">
      <c r="J951"/>
      <c r="K951"/>
      <c r="L951"/>
      <c r="M951"/>
      <c r="N951"/>
      <c r="O951"/>
    </row>
    <row r="952" spans="10:15" x14ac:dyDescent="0.25">
      <c r="J952"/>
      <c r="K952"/>
      <c r="L952"/>
      <c r="M952"/>
      <c r="N952"/>
      <c r="O952"/>
    </row>
    <row r="953" spans="10:15" x14ac:dyDescent="0.25">
      <c r="J953"/>
      <c r="K953"/>
      <c r="L953"/>
      <c r="M953"/>
      <c r="N953"/>
      <c r="O953"/>
    </row>
    <row r="954" spans="10:15" x14ac:dyDescent="0.25">
      <c r="J954"/>
      <c r="K954"/>
      <c r="L954"/>
      <c r="M954"/>
      <c r="N954"/>
      <c r="O954"/>
    </row>
    <row r="955" spans="10:15" x14ac:dyDescent="0.25">
      <c r="J955"/>
      <c r="K955"/>
      <c r="L955"/>
      <c r="M955"/>
      <c r="N955"/>
      <c r="O955"/>
    </row>
    <row r="956" spans="10:15" x14ac:dyDescent="0.25">
      <c r="J956"/>
      <c r="K956"/>
      <c r="L956"/>
      <c r="M956"/>
      <c r="N956"/>
      <c r="O956"/>
    </row>
    <row r="957" spans="10:15" x14ac:dyDescent="0.25">
      <c r="J957"/>
      <c r="K957"/>
      <c r="L957"/>
      <c r="M957"/>
      <c r="N957"/>
      <c r="O957"/>
    </row>
    <row r="958" spans="10:15" x14ac:dyDescent="0.25">
      <c r="J958"/>
      <c r="K958"/>
      <c r="L958"/>
      <c r="M958"/>
      <c r="N958"/>
      <c r="O958"/>
    </row>
    <row r="959" spans="10:15" x14ac:dyDescent="0.25">
      <c r="J959"/>
      <c r="K959"/>
      <c r="L959"/>
      <c r="M959"/>
      <c r="N959"/>
      <c r="O959"/>
    </row>
    <row r="960" spans="10:15" x14ac:dyDescent="0.25">
      <c r="J960"/>
      <c r="K960"/>
      <c r="L960"/>
      <c r="M960"/>
      <c r="N960"/>
      <c r="O960"/>
    </row>
    <row r="961" spans="10:15" x14ac:dyDescent="0.25">
      <c r="J961"/>
      <c r="K961"/>
      <c r="L961"/>
      <c r="M961"/>
      <c r="N961"/>
      <c r="O961"/>
    </row>
    <row r="962" spans="10:15" x14ac:dyDescent="0.25">
      <c r="J962"/>
      <c r="K962"/>
      <c r="L962"/>
      <c r="M962"/>
      <c r="N962"/>
      <c r="O962"/>
    </row>
    <row r="963" spans="10:15" x14ac:dyDescent="0.25">
      <c r="J963"/>
      <c r="K963"/>
      <c r="L963"/>
      <c r="M963"/>
      <c r="N963"/>
      <c r="O963"/>
    </row>
    <row r="964" spans="10:15" x14ac:dyDescent="0.25">
      <c r="J964"/>
      <c r="K964"/>
      <c r="L964"/>
      <c r="M964"/>
      <c r="N964"/>
      <c r="O964"/>
    </row>
    <row r="965" spans="10:15" x14ac:dyDescent="0.25">
      <c r="J965"/>
      <c r="K965"/>
      <c r="L965"/>
      <c r="M965"/>
      <c r="N965"/>
      <c r="O965"/>
    </row>
    <row r="966" spans="10:15" x14ac:dyDescent="0.25">
      <c r="J966"/>
      <c r="K966"/>
      <c r="L966"/>
      <c r="M966"/>
      <c r="N966"/>
      <c r="O966"/>
    </row>
    <row r="967" spans="10:15" x14ac:dyDescent="0.25">
      <c r="J967"/>
      <c r="K967"/>
      <c r="L967"/>
      <c r="M967"/>
      <c r="N967"/>
      <c r="O967"/>
    </row>
    <row r="968" spans="10:15" x14ac:dyDescent="0.25">
      <c r="J968"/>
      <c r="K968"/>
      <c r="L968"/>
      <c r="M968"/>
      <c r="N968"/>
      <c r="O968"/>
    </row>
    <row r="969" spans="10:15" x14ac:dyDescent="0.25">
      <c r="J969"/>
      <c r="K969"/>
      <c r="L969"/>
      <c r="M969"/>
      <c r="N969"/>
      <c r="O969"/>
    </row>
    <row r="970" spans="10:15" x14ac:dyDescent="0.25">
      <c r="J970"/>
      <c r="K970"/>
      <c r="L970"/>
      <c r="M970"/>
      <c r="N970"/>
      <c r="O970"/>
    </row>
    <row r="971" spans="10:15" x14ac:dyDescent="0.25">
      <c r="J971"/>
      <c r="K971"/>
      <c r="L971"/>
      <c r="M971"/>
      <c r="N971"/>
      <c r="O971"/>
    </row>
    <row r="972" spans="10:15" x14ac:dyDescent="0.25">
      <c r="J972"/>
      <c r="K972"/>
      <c r="L972"/>
      <c r="M972"/>
      <c r="N972"/>
      <c r="O972"/>
    </row>
    <row r="973" spans="10:15" x14ac:dyDescent="0.25">
      <c r="J973"/>
      <c r="K973"/>
      <c r="L973"/>
      <c r="M973"/>
      <c r="N973"/>
      <c r="O973"/>
    </row>
    <row r="974" spans="10:15" x14ac:dyDescent="0.25">
      <c r="J974"/>
      <c r="K974"/>
      <c r="L974"/>
      <c r="M974"/>
      <c r="N974"/>
      <c r="O974"/>
    </row>
    <row r="975" spans="10:15" x14ac:dyDescent="0.25">
      <c r="J975"/>
      <c r="K975"/>
      <c r="L975"/>
      <c r="M975"/>
      <c r="N975"/>
      <c r="O975"/>
    </row>
    <row r="976" spans="10:15" x14ac:dyDescent="0.25">
      <c r="J976"/>
      <c r="K976"/>
      <c r="L976"/>
      <c r="M976"/>
      <c r="N976"/>
      <c r="O976"/>
    </row>
    <row r="977" spans="10:15" x14ac:dyDescent="0.25">
      <c r="J977"/>
      <c r="K977"/>
      <c r="L977"/>
      <c r="M977"/>
      <c r="N977"/>
      <c r="O977"/>
    </row>
    <row r="978" spans="10:15" x14ac:dyDescent="0.25">
      <c r="J978"/>
      <c r="K978"/>
      <c r="L978"/>
      <c r="M978"/>
      <c r="N978"/>
      <c r="O978"/>
    </row>
    <row r="979" spans="10:15" x14ac:dyDescent="0.25">
      <c r="J979"/>
      <c r="K979"/>
      <c r="L979"/>
      <c r="M979"/>
      <c r="N979"/>
      <c r="O979"/>
    </row>
    <row r="980" spans="10:15" x14ac:dyDescent="0.25">
      <c r="J980"/>
      <c r="K980"/>
      <c r="L980"/>
      <c r="M980"/>
      <c r="N980"/>
      <c r="O980"/>
    </row>
    <row r="981" spans="10:15" x14ac:dyDescent="0.25">
      <c r="J981"/>
      <c r="K981"/>
      <c r="L981"/>
      <c r="M981"/>
      <c r="N981"/>
      <c r="O981"/>
    </row>
    <row r="982" spans="10:15" x14ac:dyDescent="0.25">
      <c r="J982"/>
      <c r="K982"/>
      <c r="L982"/>
      <c r="M982"/>
      <c r="N982"/>
      <c r="O982"/>
    </row>
    <row r="983" spans="10:15" x14ac:dyDescent="0.25">
      <c r="J983"/>
      <c r="K983"/>
      <c r="L983"/>
      <c r="M983"/>
      <c r="N983"/>
      <c r="O983"/>
    </row>
    <row r="984" spans="10:15" x14ac:dyDescent="0.25">
      <c r="J984"/>
      <c r="K984"/>
      <c r="L984"/>
      <c r="M984"/>
      <c r="N984"/>
      <c r="O984"/>
    </row>
    <row r="985" spans="10:15" x14ac:dyDescent="0.25">
      <c r="J985"/>
      <c r="K985"/>
      <c r="L985"/>
      <c r="M985"/>
      <c r="N985"/>
      <c r="O985"/>
    </row>
    <row r="986" spans="10:15" x14ac:dyDescent="0.25">
      <c r="J986"/>
      <c r="K986"/>
      <c r="L986"/>
      <c r="M986"/>
      <c r="N986"/>
      <c r="O986"/>
    </row>
    <row r="987" spans="10:15" x14ac:dyDescent="0.25">
      <c r="J987"/>
      <c r="K987"/>
      <c r="L987"/>
      <c r="M987"/>
      <c r="N987"/>
      <c r="O987"/>
    </row>
    <row r="988" spans="10:15" x14ac:dyDescent="0.25">
      <c r="J988"/>
      <c r="K988"/>
      <c r="L988"/>
      <c r="M988"/>
      <c r="N988"/>
      <c r="O988"/>
    </row>
    <row r="989" spans="10:15" x14ac:dyDescent="0.25">
      <c r="J989"/>
      <c r="K989"/>
      <c r="L989"/>
      <c r="M989"/>
      <c r="N989"/>
      <c r="O989"/>
    </row>
    <row r="990" spans="10:15" x14ac:dyDescent="0.25">
      <c r="J990"/>
      <c r="K990"/>
      <c r="L990"/>
      <c r="M990"/>
      <c r="N990"/>
      <c r="O990"/>
    </row>
    <row r="991" spans="10:15" x14ac:dyDescent="0.25">
      <c r="J991"/>
      <c r="K991"/>
      <c r="L991"/>
      <c r="M991"/>
      <c r="N991"/>
      <c r="O991"/>
    </row>
    <row r="992" spans="10:15" x14ac:dyDescent="0.25">
      <c r="J992"/>
      <c r="K992"/>
      <c r="L992"/>
      <c r="M992"/>
      <c r="N992"/>
      <c r="O992"/>
    </row>
    <row r="993" spans="11:15" x14ac:dyDescent="0.25">
      <c r="K993"/>
      <c r="L993"/>
      <c r="M993"/>
      <c r="N993"/>
      <c r="O993"/>
    </row>
  </sheetData>
  <sortState xmlns:xlrd2="http://schemas.microsoft.com/office/spreadsheetml/2017/richdata2" ref="D26:D45">
    <sortCondition ref="D26:D45"/>
  </sortState>
  <mergeCells count="12">
    <mergeCell ref="C62:D62"/>
    <mergeCell ref="C64:H68"/>
    <mergeCell ref="C8:E8"/>
    <mergeCell ref="C15:E15"/>
    <mergeCell ref="C25:E25"/>
    <mergeCell ref="C49:E49"/>
    <mergeCell ref="C57:E57"/>
    <mergeCell ref="K9:O9"/>
    <mergeCell ref="K2:O2"/>
    <mergeCell ref="K3:O4"/>
    <mergeCell ref="K12:O34"/>
    <mergeCell ref="K36:O3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5B07-BD1D-C44A-93A7-42AF611E3145}">
  <sheetPr codeName="Sheet4"/>
  <dimension ref="A1:CT681"/>
  <sheetViews>
    <sheetView showGridLines="0" zoomScaleNormal="100" workbookViewId="0">
      <pane ySplit="7" topLeftCell="A8" activePane="bottomLeft" state="frozen"/>
      <selection pane="bottomLeft" activeCell="B9" sqref="B9"/>
    </sheetView>
  </sheetViews>
  <sheetFormatPr defaultColWidth="11" defaultRowHeight="15.75" x14ac:dyDescent="0.25"/>
  <cols>
    <col min="1" max="1" width="20.875" style="26" customWidth="1"/>
    <col min="2" max="2" width="5.875" customWidth="1"/>
    <col min="3" max="3" width="2.875" customWidth="1"/>
    <col min="4" max="4" width="41.5" bestFit="1" customWidth="1"/>
    <col min="5" max="5" width="3.875" customWidth="1"/>
    <col min="6" max="8" width="20.875" customWidth="1"/>
    <col min="9" max="9" width="5.875" customWidth="1"/>
    <col min="10" max="97" width="11" style="26"/>
  </cols>
  <sheetData>
    <row r="1" spans="1:98" s="26" customFormat="1" ht="39.950000000000003" customHeight="1" x14ac:dyDescent="0.25">
      <c r="C1" s="30"/>
      <c r="D1" s="30"/>
      <c r="E1" s="30"/>
      <c r="F1" s="30"/>
      <c r="G1" s="30"/>
      <c r="H1" s="30"/>
    </row>
    <row r="2" spans="1:98" ht="24.95" customHeight="1" x14ac:dyDescent="0.25">
      <c r="CT2" s="26"/>
    </row>
    <row r="3" spans="1:98" ht="36.950000000000003" customHeight="1" x14ac:dyDescent="0.55000000000000004">
      <c r="D3" s="36" t="s">
        <v>25</v>
      </c>
      <c r="H3" s="13" t="s">
        <v>54</v>
      </c>
      <c r="CT3" s="26"/>
    </row>
    <row r="4" spans="1:98" ht="24" x14ac:dyDescent="0.4">
      <c r="D4" s="35" t="s">
        <v>52</v>
      </c>
      <c r="CT4" s="26"/>
    </row>
    <row r="5" spans="1:98" x14ac:dyDescent="0.25">
      <c r="CT5" s="26"/>
    </row>
    <row r="6" spans="1:98" x14ac:dyDescent="0.25">
      <c r="C6" s="21"/>
      <c r="D6" s="21"/>
      <c r="E6" s="21"/>
      <c r="F6" s="21"/>
      <c r="G6" s="21"/>
      <c r="H6" s="21"/>
    </row>
    <row r="7" spans="1:98" s="2" customFormat="1" ht="24.95" customHeight="1" x14ac:dyDescent="0.25">
      <c r="A7" s="27"/>
      <c r="F7" s="6">
        <v>2023</v>
      </c>
      <c r="G7" s="6">
        <v>2022</v>
      </c>
      <c r="H7" s="6">
        <v>2021</v>
      </c>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row>
    <row r="8" spans="1:98" s="2" customFormat="1" ht="24.95" customHeight="1" thickBot="1" x14ac:dyDescent="0.3">
      <c r="A8" s="27"/>
      <c r="C8" s="58" t="s">
        <v>0</v>
      </c>
      <c r="D8" s="58"/>
      <c r="E8" s="58"/>
      <c r="F8" s="10"/>
      <c r="G8" s="10"/>
      <c r="H8" s="10"/>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row>
    <row r="9" spans="1:98" s="2" customFormat="1" ht="20.100000000000001" customHeight="1" x14ac:dyDescent="0.25">
      <c r="A9" s="27"/>
      <c r="D9" s="15" t="s">
        <v>38</v>
      </c>
      <c r="F9" s="22">
        <v>2000000</v>
      </c>
      <c r="G9" s="22">
        <v>1600000</v>
      </c>
      <c r="H9" s="22">
        <v>1400000</v>
      </c>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row>
    <row r="10" spans="1:98" s="2" customFormat="1" ht="20.100000000000001" customHeight="1" x14ac:dyDescent="0.25">
      <c r="A10" s="27"/>
      <c r="D10" s="16" t="s">
        <v>39</v>
      </c>
      <c r="F10" s="23">
        <v>-150000</v>
      </c>
      <c r="G10" s="23">
        <v>-120000</v>
      </c>
      <c r="H10" s="23">
        <v>-100000</v>
      </c>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row>
    <row r="11" spans="1:98" s="2" customFormat="1" ht="20.100000000000001" customHeight="1" x14ac:dyDescent="0.25">
      <c r="A11" s="27"/>
      <c r="D11" s="16" t="s">
        <v>42</v>
      </c>
      <c r="F11" s="23">
        <v>30000</v>
      </c>
      <c r="G11" s="23">
        <v>15000</v>
      </c>
      <c r="H11" s="23">
        <v>5000</v>
      </c>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row>
    <row r="12" spans="1:98" s="2" customFormat="1" ht="20.100000000000001" customHeight="1" x14ac:dyDescent="0.25">
      <c r="A12" s="27"/>
      <c r="F12" s="9"/>
      <c r="G12" s="9"/>
      <c r="H12" s="9"/>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row>
    <row r="13" spans="1:98" s="2" customFormat="1" ht="24.95" customHeight="1" x14ac:dyDescent="0.25">
      <c r="A13" s="27"/>
      <c r="D13" s="41" t="s">
        <v>43</v>
      </c>
      <c r="E13" s="4"/>
      <c r="F13" s="19">
        <f>SUM(F9:F12)</f>
        <v>1880000</v>
      </c>
      <c r="G13" s="19">
        <f t="shared" ref="G13:H13" si="0">SUM(G9:G12)</f>
        <v>1495000</v>
      </c>
      <c r="H13" s="19">
        <f t="shared" si="0"/>
        <v>1305000</v>
      </c>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row>
    <row r="14" spans="1:98" s="2" customFormat="1" ht="20.100000000000001" customHeight="1" x14ac:dyDescent="0.25">
      <c r="A14" s="27"/>
      <c r="F14" s="9"/>
      <c r="G14" s="9"/>
      <c r="H14" s="9"/>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row>
    <row r="15" spans="1:98" s="2" customFormat="1" ht="24.95" customHeight="1" thickBot="1" x14ac:dyDescent="0.3">
      <c r="A15" s="27"/>
      <c r="C15" s="58" t="s">
        <v>1</v>
      </c>
      <c r="D15" s="58"/>
      <c r="E15" s="58"/>
      <c r="F15" s="10"/>
      <c r="G15" s="10"/>
      <c r="H15" s="10"/>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row>
    <row r="16" spans="1:98" s="2" customFormat="1" ht="20.100000000000001" customHeight="1" x14ac:dyDescent="0.25">
      <c r="A16" s="27"/>
      <c r="D16" s="15" t="s">
        <v>45</v>
      </c>
      <c r="F16" s="24">
        <v>-250000</v>
      </c>
      <c r="G16" s="24">
        <v>-150000</v>
      </c>
      <c r="H16" s="24">
        <v>-140000</v>
      </c>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row>
    <row r="17" spans="1:97" s="2" customFormat="1" ht="20.100000000000001" customHeight="1" x14ac:dyDescent="0.25">
      <c r="A17" s="27"/>
      <c r="D17" s="16" t="s">
        <v>4</v>
      </c>
      <c r="F17" s="23">
        <v>-100000</v>
      </c>
      <c r="G17" s="23">
        <v>-90000</v>
      </c>
      <c r="H17" s="23">
        <v>-60000</v>
      </c>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row>
    <row r="18" spans="1:97" s="2" customFormat="1" ht="20.100000000000001" customHeight="1" x14ac:dyDescent="0.25">
      <c r="A18" s="27"/>
      <c r="D18" s="16" t="s">
        <v>5</v>
      </c>
      <c r="F18" s="23">
        <v>-500000</v>
      </c>
      <c r="G18" s="23">
        <v>-450000</v>
      </c>
      <c r="H18" s="23">
        <v>-400000</v>
      </c>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row>
    <row r="19" spans="1:97" s="2" customFormat="1" ht="20.100000000000001" customHeight="1" x14ac:dyDescent="0.25">
      <c r="A19" s="27"/>
      <c r="D19" s="16" t="s">
        <v>2</v>
      </c>
      <c r="F19" s="23">
        <v>-30000</v>
      </c>
      <c r="G19" s="23">
        <v>-25000</v>
      </c>
      <c r="H19" s="23">
        <v>-15000</v>
      </c>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row>
    <row r="20" spans="1:97" s="2" customFormat="1" ht="20.100000000000001" customHeight="1" x14ac:dyDescent="0.25">
      <c r="A20" s="27"/>
      <c r="F20" s="9"/>
      <c r="G20" s="9"/>
      <c r="H20" s="9"/>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row>
    <row r="21" spans="1:97" s="2" customFormat="1" ht="24.95" customHeight="1" x14ac:dyDescent="0.25">
      <c r="A21" s="27"/>
      <c r="D21" s="40" t="s">
        <v>3</v>
      </c>
      <c r="E21" s="4"/>
      <c r="F21" s="19">
        <f>SUM(F16:F20)</f>
        <v>-880000</v>
      </c>
      <c r="G21" s="19">
        <f t="shared" ref="G21:H21" si="1">SUM(G16:G20)</f>
        <v>-715000</v>
      </c>
      <c r="H21" s="19">
        <f t="shared" si="1"/>
        <v>-615000</v>
      </c>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row>
    <row r="22" spans="1:97" s="2" customFormat="1" ht="20.100000000000001" customHeight="1" x14ac:dyDescent="0.25">
      <c r="A22" s="27"/>
      <c r="F22" s="9"/>
      <c r="G22" s="9"/>
      <c r="H22" s="9"/>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row>
    <row r="23" spans="1:97" s="2" customFormat="1" ht="24.95" customHeight="1" x14ac:dyDescent="0.25">
      <c r="A23" s="27"/>
      <c r="D23" s="41" t="s">
        <v>46</v>
      </c>
      <c r="E23" s="4"/>
      <c r="F23" s="19">
        <f>+F13+F21</f>
        <v>1000000</v>
      </c>
      <c r="G23" s="19">
        <f t="shared" ref="G23:H23" si="2">+G13+G21</f>
        <v>780000</v>
      </c>
      <c r="H23" s="19">
        <f t="shared" si="2"/>
        <v>690000</v>
      </c>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row>
    <row r="24" spans="1:97" s="2" customFormat="1" ht="20.100000000000001" customHeight="1" x14ac:dyDescent="0.25">
      <c r="A24" s="27"/>
      <c r="F24" s="9"/>
      <c r="G24" s="9"/>
      <c r="H24" s="9"/>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row>
    <row r="25" spans="1:97" s="2" customFormat="1" ht="24.95" customHeight="1" thickBot="1" x14ac:dyDescent="0.3">
      <c r="A25" s="27"/>
      <c r="C25" s="58" t="s">
        <v>6</v>
      </c>
      <c r="D25" s="58"/>
      <c r="E25" s="58"/>
      <c r="F25" s="10"/>
      <c r="G25" s="10"/>
      <c r="H25" s="10"/>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row>
    <row r="26" spans="1:97" s="2" customFormat="1" ht="20.100000000000001" customHeight="1" x14ac:dyDescent="0.25">
      <c r="A26" s="27"/>
      <c r="D26" s="15" t="s">
        <v>17</v>
      </c>
      <c r="F26" s="22">
        <v>-25000</v>
      </c>
      <c r="G26" s="22">
        <v>-18500</v>
      </c>
      <c r="H26" s="22">
        <v>-15200</v>
      </c>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row>
    <row r="27" spans="1:97" s="2" customFormat="1" ht="20.100000000000001" customHeight="1" x14ac:dyDescent="0.25">
      <c r="A27" s="27"/>
      <c r="D27" s="16" t="s">
        <v>27</v>
      </c>
      <c r="F27" s="23">
        <v>-15000</v>
      </c>
      <c r="G27" s="23"/>
      <c r="H27" s="23"/>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row>
    <row r="28" spans="1:97" s="2" customFormat="1" ht="20.100000000000001" customHeight="1" x14ac:dyDescent="0.25">
      <c r="A28" s="27"/>
      <c r="D28" s="16" t="s">
        <v>18</v>
      </c>
      <c r="F28" s="23">
        <v>-1200</v>
      </c>
      <c r="G28" s="23">
        <v>-1000</v>
      </c>
      <c r="H28" s="23">
        <v>-700</v>
      </c>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row>
    <row r="29" spans="1:97" s="2" customFormat="1" ht="20.100000000000001" customHeight="1" x14ac:dyDescent="0.25">
      <c r="A29" s="27"/>
      <c r="D29" s="16" t="s">
        <v>19</v>
      </c>
      <c r="F29" s="23">
        <v>-21000</v>
      </c>
      <c r="G29" s="23">
        <v>-15000</v>
      </c>
      <c r="H29" s="23">
        <v>-35000</v>
      </c>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row>
    <row r="30" spans="1:97" s="2" customFormat="1" ht="20.100000000000001" customHeight="1" x14ac:dyDescent="0.25">
      <c r="A30" s="27"/>
      <c r="D30" s="16" t="s">
        <v>7</v>
      </c>
      <c r="F30" s="23">
        <v>-10000</v>
      </c>
      <c r="G30" s="23">
        <v>-7500</v>
      </c>
      <c r="H30" s="23">
        <v>-6200</v>
      </c>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row>
    <row r="31" spans="1:97" s="2" customFormat="1" ht="20.100000000000001" customHeight="1" x14ac:dyDescent="0.25">
      <c r="A31" s="27"/>
      <c r="D31" s="16" t="s">
        <v>28</v>
      </c>
      <c r="F31" s="23">
        <v>-8000</v>
      </c>
      <c r="G31" s="23">
        <v>-3000</v>
      </c>
      <c r="H31" s="23">
        <v>-21000</v>
      </c>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row>
    <row r="32" spans="1:97" s="2" customFormat="1" ht="20.100000000000001" customHeight="1" x14ac:dyDescent="0.25">
      <c r="A32" s="27"/>
      <c r="D32" s="16" t="s">
        <v>8</v>
      </c>
      <c r="F32" s="23">
        <v>-15000</v>
      </c>
      <c r="G32" s="23">
        <v>-12000</v>
      </c>
      <c r="H32" s="23">
        <v>-8500</v>
      </c>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row>
    <row r="33" spans="1:97" s="2" customFormat="1" ht="20.100000000000001" customHeight="1" x14ac:dyDescent="0.25">
      <c r="A33" s="27"/>
      <c r="D33" s="16" t="s">
        <v>13</v>
      </c>
      <c r="F33" s="23">
        <v>-50000</v>
      </c>
      <c r="G33" s="23">
        <v>-42000</v>
      </c>
      <c r="H33" s="23">
        <v>-38000</v>
      </c>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row>
    <row r="34" spans="1:97" s="2" customFormat="1" ht="20.100000000000001" customHeight="1" x14ac:dyDescent="0.25">
      <c r="A34" s="27"/>
      <c r="D34" s="16" t="s">
        <v>10</v>
      </c>
      <c r="F34" s="23">
        <v>-12500</v>
      </c>
      <c r="G34" s="23">
        <v>-9500</v>
      </c>
      <c r="H34" s="23">
        <v>-8500</v>
      </c>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row>
    <row r="35" spans="1:97" s="2" customFormat="1" ht="20.100000000000001" customHeight="1" x14ac:dyDescent="0.25">
      <c r="A35" s="27"/>
      <c r="D35" s="16" t="s">
        <v>11</v>
      </c>
      <c r="F35" s="23">
        <v>-8200</v>
      </c>
      <c r="G35" s="23">
        <v>-7000</v>
      </c>
      <c r="H35" s="23">
        <v>-6200</v>
      </c>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row>
    <row r="36" spans="1:97" s="2" customFormat="1" ht="20.100000000000001" customHeight="1" x14ac:dyDescent="0.25">
      <c r="A36" s="27"/>
      <c r="D36" s="16" t="s">
        <v>16</v>
      </c>
      <c r="F36" s="23">
        <v>-500</v>
      </c>
      <c r="G36" s="23">
        <v>-350</v>
      </c>
      <c r="H36" s="23">
        <v>-300</v>
      </c>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row>
    <row r="37" spans="1:97" s="2" customFormat="1" ht="20.100000000000001" customHeight="1" x14ac:dyDescent="0.25">
      <c r="A37" s="27"/>
      <c r="D37" s="16" t="s">
        <v>20</v>
      </c>
      <c r="F37" s="23">
        <v>-5400</v>
      </c>
      <c r="G37" s="23">
        <v>-4200</v>
      </c>
      <c r="H37" s="23">
        <v>-4000</v>
      </c>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row>
    <row r="38" spans="1:97" s="2" customFormat="1" ht="20.100000000000001" customHeight="1" x14ac:dyDescent="0.25">
      <c r="A38" s="27"/>
      <c r="D38" s="16" t="s">
        <v>21</v>
      </c>
      <c r="F38" s="23">
        <v>-5200</v>
      </c>
      <c r="G38" s="23">
        <v>-3800</v>
      </c>
      <c r="H38" s="23">
        <v>-3300</v>
      </c>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row>
    <row r="39" spans="1:97" s="2" customFormat="1" ht="20.100000000000001" customHeight="1" x14ac:dyDescent="0.25">
      <c r="A39" s="27"/>
      <c r="D39" s="16" t="s">
        <v>26</v>
      </c>
      <c r="F39" s="23">
        <v>-18000</v>
      </c>
      <c r="G39" s="23">
        <v>-15000</v>
      </c>
      <c r="H39" s="23">
        <v>-14000</v>
      </c>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row>
    <row r="40" spans="1:97" s="2" customFormat="1" ht="20.100000000000001" customHeight="1" x14ac:dyDescent="0.25">
      <c r="A40" s="27"/>
      <c r="D40" s="16" t="s">
        <v>12</v>
      </c>
      <c r="F40" s="23">
        <v>-25000</v>
      </c>
      <c r="G40" s="23">
        <v>-25000</v>
      </c>
      <c r="H40" s="23">
        <v>-25000</v>
      </c>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row>
    <row r="41" spans="1:97" s="2" customFormat="1" ht="20.100000000000001" customHeight="1" x14ac:dyDescent="0.25">
      <c r="A41" s="27"/>
      <c r="D41" s="16" t="s">
        <v>29</v>
      </c>
      <c r="F41" s="23">
        <v>-24000</v>
      </c>
      <c r="G41" s="23">
        <v>-18000</v>
      </c>
      <c r="H41" s="23">
        <v>-6000</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row>
    <row r="42" spans="1:97" s="2" customFormat="1" ht="20.100000000000001" customHeight="1" x14ac:dyDescent="0.25">
      <c r="A42" s="27"/>
      <c r="D42" s="16" t="s">
        <v>30</v>
      </c>
      <c r="F42" s="23">
        <v>-500000</v>
      </c>
      <c r="G42" s="23">
        <v>-450000</v>
      </c>
      <c r="H42" s="23">
        <v>-420000</v>
      </c>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row>
    <row r="43" spans="1:97" s="2" customFormat="1" ht="20.100000000000001" customHeight="1" x14ac:dyDescent="0.25">
      <c r="A43" s="27"/>
      <c r="D43" s="16" t="s">
        <v>14</v>
      </c>
      <c r="F43" s="23">
        <v>-10000</v>
      </c>
      <c r="G43" s="23">
        <v>-10000</v>
      </c>
      <c r="H43" s="23">
        <v>-8000</v>
      </c>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row>
    <row r="44" spans="1:97" s="2" customFormat="1" ht="20.100000000000001" customHeight="1" x14ac:dyDescent="0.25">
      <c r="A44" s="27"/>
      <c r="D44" s="16" t="s">
        <v>15</v>
      </c>
      <c r="F44" s="23">
        <v>-6500</v>
      </c>
      <c r="G44" s="23">
        <v>-5600</v>
      </c>
      <c r="H44" s="23">
        <v>-4900</v>
      </c>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row>
    <row r="45" spans="1:97" s="2" customFormat="1" ht="20.100000000000001" customHeight="1" x14ac:dyDescent="0.25">
      <c r="A45" s="27"/>
      <c r="D45" s="16" t="s">
        <v>31</v>
      </c>
      <c r="F45" s="23">
        <v>-50000</v>
      </c>
      <c r="G45" s="23">
        <v>-42000</v>
      </c>
      <c r="H45" s="23">
        <v>-38000</v>
      </c>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row>
    <row r="46" spans="1:97" s="2" customFormat="1" ht="20.100000000000001" customHeight="1" x14ac:dyDescent="0.25">
      <c r="A46" s="27"/>
      <c r="F46" s="9"/>
      <c r="G46" s="9"/>
      <c r="H46" s="9"/>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row>
    <row r="47" spans="1:97" s="2" customFormat="1" ht="24.95" customHeight="1" x14ac:dyDescent="0.25">
      <c r="A47" s="27"/>
      <c r="D47" s="40" t="s">
        <v>23</v>
      </c>
      <c r="E47" s="4"/>
      <c r="F47" s="19">
        <f>SUM(F26:F46)</f>
        <v>-810500</v>
      </c>
      <c r="G47" s="19">
        <f>SUM(G26:G46)</f>
        <v>-689450</v>
      </c>
      <c r="H47" s="19">
        <f>SUM(H26:H46)</f>
        <v>-662800</v>
      </c>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row>
    <row r="48" spans="1:97" s="2" customFormat="1" ht="20.100000000000001" customHeight="1" x14ac:dyDescent="0.25">
      <c r="A48" s="27"/>
      <c r="F48" s="9"/>
      <c r="G48" s="9"/>
      <c r="H48" s="9"/>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row>
    <row r="49" spans="1:97" s="2" customFormat="1" ht="24.95" customHeight="1" thickBot="1" x14ac:dyDescent="0.3">
      <c r="A49" s="27"/>
      <c r="C49" s="58" t="s">
        <v>51</v>
      </c>
      <c r="D49" s="58"/>
      <c r="E49" s="58"/>
      <c r="F49" s="39">
        <f>+F23+F47</f>
        <v>189500</v>
      </c>
      <c r="G49" s="39">
        <f>+G23+G47</f>
        <v>90550</v>
      </c>
      <c r="H49" s="39">
        <f>+H23+H47</f>
        <v>27200</v>
      </c>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row>
    <row r="50" spans="1:97" s="2" customFormat="1" ht="20.100000000000001" customHeight="1" x14ac:dyDescent="0.25">
      <c r="A50" s="27"/>
      <c r="D50" s="15" t="s">
        <v>47</v>
      </c>
      <c r="F50" s="22">
        <v>3000</v>
      </c>
      <c r="G50" s="22">
        <v>2000</v>
      </c>
      <c r="H50" s="22">
        <v>1000</v>
      </c>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row>
    <row r="51" spans="1:97" s="2" customFormat="1" ht="20.100000000000001" customHeight="1" x14ac:dyDescent="0.25">
      <c r="A51" s="27"/>
      <c r="D51" s="17" t="s">
        <v>48</v>
      </c>
      <c r="F51" s="25">
        <v>0</v>
      </c>
      <c r="G51" s="25">
        <v>-2100</v>
      </c>
      <c r="H51" s="25">
        <v>-6500</v>
      </c>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row>
    <row r="52" spans="1:97" s="2" customFormat="1" ht="20.100000000000001" customHeight="1" x14ac:dyDescent="0.25">
      <c r="A52" s="27"/>
      <c r="D52" s="18" t="s">
        <v>50</v>
      </c>
      <c r="E52" s="14"/>
      <c r="F52" s="20">
        <f>+F49+F50+F51</f>
        <v>192500</v>
      </c>
      <c r="G52" s="20">
        <f t="shared" ref="G52:H52" si="3">+G49+G50+G51</f>
        <v>90450</v>
      </c>
      <c r="H52" s="20">
        <f t="shared" si="3"/>
        <v>21700</v>
      </c>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row>
    <row r="53" spans="1:97" s="5" customFormat="1" ht="20.100000000000001" customHeight="1" x14ac:dyDescent="0.25">
      <c r="A53" s="28"/>
      <c r="D53" s="16" t="s">
        <v>49</v>
      </c>
      <c r="F53" s="23">
        <v>-48000</v>
      </c>
      <c r="G53" s="23">
        <v>-23000</v>
      </c>
      <c r="H53" s="23">
        <v>-5000</v>
      </c>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row>
    <row r="54" spans="1:97" s="2" customFormat="1" ht="20.100000000000001" customHeight="1" x14ac:dyDescent="0.25">
      <c r="A54" s="27"/>
      <c r="F54" s="9"/>
      <c r="G54" s="9"/>
      <c r="H54" s="9"/>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row>
    <row r="55" spans="1:97" s="5" customFormat="1" ht="24.95" customHeight="1" x14ac:dyDescent="0.25">
      <c r="A55" s="28"/>
      <c r="D55" s="40" t="s">
        <v>24</v>
      </c>
      <c r="E55" s="4"/>
      <c r="F55" s="19">
        <f>+F52+F53</f>
        <v>144500</v>
      </c>
      <c r="G55" s="19">
        <f t="shared" ref="G55:H55" si="4">+G52+G53</f>
        <v>67450</v>
      </c>
      <c r="H55" s="19">
        <f t="shared" si="4"/>
        <v>16700</v>
      </c>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row>
    <row r="56" spans="1:97" s="5" customFormat="1" ht="20.100000000000001" customHeight="1" x14ac:dyDescent="0.25">
      <c r="A56" s="28"/>
      <c r="F56" s="11"/>
      <c r="G56" s="11"/>
      <c r="H56" s="11"/>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row>
    <row r="57" spans="1:97" s="5" customFormat="1" ht="24.95" customHeight="1" thickBot="1" x14ac:dyDescent="0.3">
      <c r="A57" s="28"/>
      <c r="C57" s="58" t="s">
        <v>22</v>
      </c>
      <c r="D57" s="58"/>
      <c r="E57" s="58"/>
      <c r="F57" s="12"/>
      <c r="G57" s="12"/>
      <c r="H57" s="12"/>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row>
    <row r="58" spans="1:97" s="5" customFormat="1" ht="20.100000000000001" customHeight="1" x14ac:dyDescent="0.25">
      <c r="A58" s="28"/>
      <c r="D58" s="15" t="s">
        <v>35</v>
      </c>
      <c r="F58" s="22">
        <v>19000</v>
      </c>
      <c r="G58" s="22">
        <v>0</v>
      </c>
      <c r="H58" s="22">
        <v>0</v>
      </c>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row>
    <row r="59" spans="1:97" s="5" customFormat="1" ht="20.100000000000001" customHeight="1" x14ac:dyDescent="0.25">
      <c r="A59" s="28"/>
      <c r="D59" s="16" t="s">
        <v>36</v>
      </c>
      <c r="F59" s="23">
        <v>0</v>
      </c>
      <c r="G59" s="23">
        <v>0</v>
      </c>
      <c r="H59" s="23">
        <v>0</v>
      </c>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row>
    <row r="60" spans="1:97" s="5" customFormat="1" ht="20.100000000000001" customHeight="1" x14ac:dyDescent="0.25">
      <c r="A60" s="28"/>
      <c r="D60" s="16" t="s">
        <v>37</v>
      </c>
      <c r="F60" s="23">
        <v>-18000</v>
      </c>
      <c r="G60" s="23">
        <v>0</v>
      </c>
      <c r="H60" s="23">
        <v>0</v>
      </c>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row>
    <row r="61" spans="1:97" s="5" customFormat="1" ht="20.100000000000001" customHeight="1" x14ac:dyDescent="0.25">
      <c r="A61" s="28"/>
      <c r="F61" s="11"/>
      <c r="G61" s="11"/>
      <c r="H61" s="11"/>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row>
    <row r="62" spans="1:97" s="5" customFormat="1" ht="24.95" customHeight="1" thickBot="1" x14ac:dyDescent="0.3">
      <c r="A62" s="28"/>
      <c r="C62" s="56" t="s">
        <v>44</v>
      </c>
      <c r="D62" s="56"/>
      <c r="E62" s="38"/>
      <c r="F62" s="37">
        <f>+F55+SUM(F58:F61)</f>
        <v>145500</v>
      </c>
      <c r="G62" s="37">
        <f t="shared" ref="G62:H62" si="5">+G55+SUM(G58:G61)</f>
        <v>67450</v>
      </c>
      <c r="H62" s="37">
        <f t="shared" si="5"/>
        <v>16700</v>
      </c>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row>
    <row r="63" spans="1:97" s="1" customFormat="1" x14ac:dyDescent="0.25">
      <c r="A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row>
    <row r="64" spans="1:97" s="1" customFormat="1" x14ac:dyDescent="0.25">
      <c r="A64" s="29"/>
      <c r="C64" s="57"/>
      <c r="D64" s="57"/>
      <c r="E64" s="57"/>
      <c r="F64" s="57"/>
      <c r="G64" s="57"/>
      <c r="H64" s="57"/>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row>
    <row r="65" spans="1:97" s="1" customFormat="1" x14ac:dyDescent="0.25">
      <c r="A65" s="29"/>
      <c r="C65" s="57"/>
      <c r="D65" s="57"/>
      <c r="E65" s="57"/>
      <c r="F65" s="57"/>
      <c r="G65" s="57"/>
      <c r="H65" s="57"/>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row>
    <row r="66" spans="1:97" s="1" customFormat="1" x14ac:dyDescent="0.25">
      <c r="A66" s="29"/>
      <c r="C66" s="57"/>
      <c r="D66" s="57"/>
      <c r="E66" s="57"/>
      <c r="F66" s="57"/>
      <c r="G66" s="57"/>
      <c r="H66" s="57"/>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row>
    <row r="67" spans="1:97" s="1" customFormat="1" x14ac:dyDescent="0.25">
      <c r="A67" s="29"/>
      <c r="C67" s="57"/>
      <c r="D67" s="57"/>
      <c r="E67" s="57"/>
      <c r="F67" s="57"/>
      <c r="G67" s="57"/>
      <c r="H67" s="57"/>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c r="CL67" s="29"/>
      <c r="CM67" s="29"/>
      <c r="CN67" s="29"/>
      <c r="CO67" s="29"/>
      <c r="CP67" s="29"/>
      <c r="CQ67" s="29"/>
      <c r="CR67" s="29"/>
      <c r="CS67" s="29"/>
    </row>
    <row r="68" spans="1:97" s="1" customFormat="1" x14ac:dyDescent="0.25">
      <c r="A68" s="29"/>
      <c r="C68" s="57"/>
      <c r="D68" s="57"/>
      <c r="E68" s="57"/>
      <c r="F68" s="57"/>
      <c r="G68" s="57"/>
      <c r="H68" s="57"/>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row>
    <row r="69" spans="1:97" s="1" customFormat="1" x14ac:dyDescent="0.25">
      <c r="A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row>
    <row r="70" spans="1:97" s="1" customFormat="1" x14ac:dyDescent="0.25">
      <c r="A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c r="CQ70" s="29"/>
      <c r="CR70" s="29"/>
      <c r="CS70" s="29"/>
    </row>
    <row r="71" spans="1:97" s="26" customFormat="1" x14ac:dyDescent="0.25"/>
    <row r="72" spans="1:97" s="26" customFormat="1" x14ac:dyDescent="0.25"/>
    <row r="73" spans="1:97" s="26" customFormat="1" x14ac:dyDescent="0.25"/>
    <row r="74" spans="1:97" s="26" customFormat="1" x14ac:dyDescent="0.25"/>
    <row r="75" spans="1:97" s="26" customFormat="1" x14ac:dyDescent="0.25"/>
    <row r="76" spans="1:97" s="26" customFormat="1" x14ac:dyDescent="0.25"/>
    <row r="77" spans="1:97" s="26" customFormat="1" x14ac:dyDescent="0.25"/>
    <row r="78" spans="1:97" s="26" customFormat="1" x14ac:dyDescent="0.25"/>
    <row r="79" spans="1:97" s="26" customFormat="1" x14ac:dyDescent="0.25"/>
    <row r="80" spans="1:97" s="26" customFormat="1" x14ac:dyDescent="0.25"/>
    <row r="81" s="26" customFormat="1" x14ac:dyDescent="0.25"/>
    <row r="82" s="26" customFormat="1" x14ac:dyDescent="0.25"/>
    <row r="83" s="26" customFormat="1" x14ac:dyDescent="0.25"/>
    <row r="84" s="26" customFormat="1" x14ac:dyDescent="0.25"/>
    <row r="85" s="26" customFormat="1" x14ac:dyDescent="0.25"/>
    <row r="86" s="26" customFormat="1" x14ac:dyDescent="0.25"/>
    <row r="87" s="26" customFormat="1" x14ac:dyDescent="0.25"/>
    <row r="88" s="26" customFormat="1" x14ac:dyDescent="0.25"/>
    <row r="89" s="26" customFormat="1" x14ac:dyDescent="0.25"/>
    <row r="90" s="26" customFormat="1" x14ac:dyDescent="0.25"/>
    <row r="91" s="26" customFormat="1" x14ac:dyDescent="0.25"/>
    <row r="92" s="26" customFormat="1" x14ac:dyDescent="0.25"/>
    <row r="93" s="26" customFormat="1" x14ac:dyDescent="0.25"/>
    <row r="94" s="26" customFormat="1" x14ac:dyDescent="0.25"/>
    <row r="95" s="26" customFormat="1" x14ac:dyDescent="0.25"/>
    <row r="96" s="26" customFormat="1" x14ac:dyDescent="0.25"/>
    <row r="97" s="26" customFormat="1" x14ac:dyDescent="0.25"/>
    <row r="98" s="26" customFormat="1" x14ac:dyDescent="0.25"/>
    <row r="99" s="26" customFormat="1" x14ac:dyDescent="0.25"/>
    <row r="100" s="26" customFormat="1" x14ac:dyDescent="0.25"/>
    <row r="101" s="26" customFormat="1" x14ac:dyDescent="0.25"/>
    <row r="102" s="26" customFormat="1" x14ac:dyDescent="0.25"/>
    <row r="103" s="26" customFormat="1" x14ac:dyDescent="0.25"/>
    <row r="104" s="26" customFormat="1" x14ac:dyDescent="0.25"/>
    <row r="105" s="26" customFormat="1" x14ac:dyDescent="0.25"/>
    <row r="106" s="26" customFormat="1" x14ac:dyDescent="0.25"/>
    <row r="107" s="26" customFormat="1" x14ac:dyDescent="0.25"/>
    <row r="108" s="26" customFormat="1" x14ac:dyDescent="0.25"/>
    <row r="109" s="26" customFormat="1" x14ac:dyDescent="0.25"/>
    <row r="110" s="26" customFormat="1" x14ac:dyDescent="0.25"/>
    <row r="111" s="26" customFormat="1" x14ac:dyDescent="0.25"/>
    <row r="112" s="26" customFormat="1" x14ac:dyDescent="0.25"/>
    <row r="113" s="26" customFormat="1" x14ac:dyDescent="0.25"/>
    <row r="114" s="26" customFormat="1" x14ac:dyDescent="0.25"/>
    <row r="115" s="26" customFormat="1" x14ac:dyDescent="0.25"/>
    <row r="116" s="26" customFormat="1" x14ac:dyDescent="0.25"/>
    <row r="117" s="26" customFormat="1" x14ac:dyDescent="0.25"/>
    <row r="118" s="26" customFormat="1" x14ac:dyDescent="0.25"/>
    <row r="119" s="26" customFormat="1" x14ac:dyDescent="0.25"/>
    <row r="120" s="26" customFormat="1" x14ac:dyDescent="0.25"/>
    <row r="121" s="26" customFormat="1" x14ac:dyDescent="0.25"/>
    <row r="122" s="26" customFormat="1" x14ac:dyDescent="0.25"/>
    <row r="123" s="26" customFormat="1" x14ac:dyDescent="0.25"/>
    <row r="124" s="26" customFormat="1" x14ac:dyDescent="0.25"/>
    <row r="125" s="26" customFormat="1" x14ac:dyDescent="0.25"/>
    <row r="126" s="26" customFormat="1" x14ac:dyDescent="0.25"/>
    <row r="127" s="26" customFormat="1" x14ac:dyDescent="0.25"/>
    <row r="128" s="26" customFormat="1" x14ac:dyDescent="0.25"/>
    <row r="129" s="26" customFormat="1" x14ac:dyDescent="0.25"/>
    <row r="130" s="26" customFormat="1" x14ac:dyDescent="0.25"/>
    <row r="131" s="26" customFormat="1" x14ac:dyDescent="0.25"/>
    <row r="132" s="26" customFormat="1" x14ac:dyDescent="0.25"/>
    <row r="133" s="26" customFormat="1" x14ac:dyDescent="0.25"/>
    <row r="134" s="26" customFormat="1" x14ac:dyDescent="0.25"/>
    <row r="135" s="26" customFormat="1" x14ac:dyDescent="0.25"/>
    <row r="136" s="26" customFormat="1" x14ac:dyDescent="0.25"/>
    <row r="137" s="26" customFormat="1" x14ac:dyDescent="0.25"/>
    <row r="138" s="26" customFormat="1" x14ac:dyDescent="0.25"/>
    <row r="139" s="26" customFormat="1" x14ac:dyDescent="0.25"/>
    <row r="140" s="26" customFormat="1" x14ac:dyDescent="0.25"/>
    <row r="141" s="26" customFormat="1" x14ac:dyDescent="0.25"/>
    <row r="142" s="26" customFormat="1" x14ac:dyDescent="0.25"/>
    <row r="143" s="26" customFormat="1" x14ac:dyDescent="0.25"/>
    <row r="144" s="26" customFormat="1" x14ac:dyDescent="0.25"/>
    <row r="145" s="26" customFormat="1" x14ac:dyDescent="0.25"/>
    <row r="146" s="26" customFormat="1" x14ac:dyDescent="0.25"/>
    <row r="147" s="26" customFormat="1" x14ac:dyDescent="0.25"/>
    <row r="148" s="26" customFormat="1" x14ac:dyDescent="0.25"/>
    <row r="149" s="26" customFormat="1" x14ac:dyDescent="0.25"/>
    <row r="150" s="26" customFormat="1" x14ac:dyDescent="0.25"/>
    <row r="151" s="26" customFormat="1" x14ac:dyDescent="0.25"/>
    <row r="152" s="26" customFormat="1" x14ac:dyDescent="0.25"/>
    <row r="153" s="26" customFormat="1" x14ac:dyDescent="0.25"/>
    <row r="154" s="26" customFormat="1" x14ac:dyDescent="0.25"/>
    <row r="155" s="26" customFormat="1" x14ac:dyDescent="0.25"/>
    <row r="156" s="26" customFormat="1" x14ac:dyDescent="0.25"/>
    <row r="157" s="26" customFormat="1" x14ac:dyDescent="0.25"/>
    <row r="158" s="26" customFormat="1" x14ac:dyDescent="0.25"/>
    <row r="159" s="26" customFormat="1" x14ac:dyDescent="0.25"/>
    <row r="160" s="26" customFormat="1" x14ac:dyDescent="0.25"/>
    <row r="161" s="26" customFormat="1" x14ac:dyDescent="0.25"/>
    <row r="162" s="26" customFormat="1" x14ac:dyDescent="0.25"/>
    <row r="163" s="26" customFormat="1" x14ac:dyDescent="0.25"/>
    <row r="164" s="26" customFormat="1" x14ac:dyDescent="0.25"/>
    <row r="165" s="26" customFormat="1" x14ac:dyDescent="0.25"/>
    <row r="166" s="26" customFormat="1" x14ac:dyDescent="0.25"/>
    <row r="167" s="26" customFormat="1" x14ac:dyDescent="0.25"/>
    <row r="168" s="26" customFormat="1" x14ac:dyDescent="0.25"/>
    <row r="169" s="26" customFormat="1" x14ac:dyDescent="0.25"/>
    <row r="170" s="26" customFormat="1" x14ac:dyDescent="0.25"/>
    <row r="171" s="26" customFormat="1" x14ac:dyDescent="0.25"/>
    <row r="172" s="26" customFormat="1" x14ac:dyDescent="0.25"/>
    <row r="173" s="26" customFormat="1" x14ac:dyDescent="0.25"/>
    <row r="174" s="26" customFormat="1" x14ac:dyDescent="0.25"/>
    <row r="175" s="26" customFormat="1" x14ac:dyDescent="0.25"/>
    <row r="176" s="26" customFormat="1" x14ac:dyDescent="0.25"/>
    <row r="177" s="26" customFormat="1" x14ac:dyDescent="0.25"/>
    <row r="178" s="26" customFormat="1" x14ac:dyDescent="0.25"/>
    <row r="179" s="26" customFormat="1" x14ac:dyDescent="0.25"/>
    <row r="180" s="26" customFormat="1" x14ac:dyDescent="0.25"/>
    <row r="181" s="26" customFormat="1" x14ac:dyDescent="0.25"/>
    <row r="182" s="26" customFormat="1" x14ac:dyDescent="0.25"/>
    <row r="183" s="26" customFormat="1" x14ac:dyDescent="0.25"/>
    <row r="184" s="26" customFormat="1" x14ac:dyDescent="0.25"/>
    <row r="185" s="26" customFormat="1" x14ac:dyDescent="0.25"/>
    <row r="186" s="26" customFormat="1" x14ac:dyDescent="0.25"/>
    <row r="187" s="26" customFormat="1" x14ac:dyDescent="0.25"/>
    <row r="188" s="26" customFormat="1" x14ac:dyDescent="0.25"/>
    <row r="189" s="26" customFormat="1" x14ac:dyDescent="0.25"/>
    <row r="190" s="26" customFormat="1" x14ac:dyDescent="0.25"/>
    <row r="191" s="26" customFormat="1" x14ac:dyDescent="0.25"/>
    <row r="192" s="26" customFormat="1" x14ac:dyDescent="0.25"/>
    <row r="193" s="26" customFormat="1" x14ac:dyDescent="0.25"/>
    <row r="194" s="26" customFormat="1" x14ac:dyDescent="0.25"/>
    <row r="195" s="26" customFormat="1" x14ac:dyDescent="0.25"/>
    <row r="196" s="26" customFormat="1" x14ac:dyDescent="0.25"/>
    <row r="197" s="26" customFormat="1" x14ac:dyDescent="0.25"/>
    <row r="198" s="26" customFormat="1" x14ac:dyDescent="0.25"/>
    <row r="199" s="26" customFormat="1" x14ac:dyDescent="0.25"/>
    <row r="200" s="26" customFormat="1" x14ac:dyDescent="0.25"/>
    <row r="201" s="26" customFormat="1" x14ac:dyDescent="0.25"/>
    <row r="202" s="26" customFormat="1" x14ac:dyDescent="0.25"/>
    <row r="203" s="26" customFormat="1" x14ac:dyDescent="0.25"/>
    <row r="204" s="26" customFormat="1" x14ac:dyDescent="0.25"/>
    <row r="205" s="26" customFormat="1" x14ac:dyDescent="0.25"/>
    <row r="206" s="26" customFormat="1" x14ac:dyDescent="0.25"/>
    <row r="207" s="26" customFormat="1" x14ac:dyDescent="0.25"/>
    <row r="208" s="26" customFormat="1" x14ac:dyDescent="0.25"/>
    <row r="209" s="26" customFormat="1" x14ac:dyDescent="0.25"/>
    <row r="210" s="26" customFormat="1" x14ac:dyDescent="0.25"/>
    <row r="211" s="26" customFormat="1" x14ac:dyDescent="0.25"/>
    <row r="212" s="26" customFormat="1" x14ac:dyDescent="0.25"/>
    <row r="213" s="26" customFormat="1" x14ac:dyDescent="0.25"/>
    <row r="214" s="26" customFormat="1" x14ac:dyDescent="0.25"/>
    <row r="215" s="26" customFormat="1" x14ac:dyDescent="0.25"/>
    <row r="216" s="26" customFormat="1" x14ac:dyDescent="0.25"/>
    <row r="217" s="26" customFormat="1" x14ac:dyDescent="0.25"/>
    <row r="218" s="26" customForma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row r="546" s="26" customFormat="1" x14ac:dyDescent="0.25"/>
    <row r="547" s="26" customFormat="1" x14ac:dyDescent="0.25"/>
    <row r="548" s="26" customFormat="1" x14ac:dyDescent="0.25"/>
    <row r="549" s="26" customFormat="1" x14ac:dyDescent="0.25"/>
    <row r="550" s="26" customFormat="1" x14ac:dyDescent="0.25"/>
    <row r="551" s="26" customFormat="1" x14ac:dyDescent="0.25"/>
    <row r="552" s="26" customFormat="1" x14ac:dyDescent="0.25"/>
    <row r="553" s="26" customFormat="1" x14ac:dyDescent="0.25"/>
    <row r="554" s="26" customFormat="1" x14ac:dyDescent="0.25"/>
    <row r="555" s="26" customFormat="1" x14ac:dyDescent="0.25"/>
    <row r="556" s="26" customFormat="1" x14ac:dyDescent="0.25"/>
    <row r="557" s="26" customFormat="1" x14ac:dyDescent="0.25"/>
    <row r="558" s="26" customFormat="1" x14ac:dyDescent="0.25"/>
    <row r="559" s="26" customFormat="1" x14ac:dyDescent="0.25"/>
    <row r="560" s="26" customFormat="1" x14ac:dyDescent="0.25"/>
    <row r="561" s="26" customFormat="1" x14ac:dyDescent="0.25"/>
    <row r="562" s="26" customFormat="1" x14ac:dyDescent="0.25"/>
    <row r="563" s="26" customFormat="1" x14ac:dyDescent="0.25"/>
    <row r="564" s="26" customFormat="1" x14ac:dyDescent="0.25"/>
    <row r="565" s="26" customFormat="1" x14ac:dyDescent="0.25"/>
    <row r="566" s="26" customFormat="1" x14ac:dyDescent="0.25"/>
    <row r="567" s="26" customFormat="1" x14ac:dyDescent="0.25"/>
    <row r="568" s="26" customFormat="1" x14ac:dyDescent="0.25"/>
    <row r="569" s="26" customFormat="1" x14ac:dyDescent="0.25"/>
    <row r="570" s="26" customFormat="1" x14ac:dyDescent="0.25"/>
    <row r="571" s="26" customFormat="1" x14ac:dyDescent="0.25"/>
    <row r="572" s="26" customFormat="1" x14ac:dyDescent="0.25"/>
    <row r="573" s="26" customFormat="1" x14ac:dyDescent="0.25"/>
    <row r="574" s="26" customFormat="1" x14ac:dyDescent="0.25"/>
    <row r="575" s="26" customFormat="1" x14ac:dyDescent="0.25"/>
    <row r="576" s="26" customFormat="1" x14ac:dyDescent="0.25"/>
    <row r="577" s="26" customFormat="1" x14ac:dyDescent="0.25"/>
    <row r="578" s="26" customFormat="1" x14ac:dyDescent="0.25"/>
    <row r="579" s="26" customFormat="1" x14ac:dyDescent="0.25"/>
    <row r="580" s="26" customFormat="1" x14ac:dyDescent="0.25"/>
    <row r="581" s="26" customFormat="1" x14ac:dyDescent="0.25"/>
    <row r="582" s="26" customFormat="1" x14ac:dyDescent="0.25"/>
    <row r="583" s="26" customFormat="1" x14ac:dyDescent="0.25"/>
    <row r="584" s="26" customFormat="1" x14ac:dyDescent="0.25"/>
    <row r="585" s="26" customFormat="1" x14ac:dyDescent="0.25"/>
    <row r="586" s="26" customFormat="1" x14ac:dyDescent="0.25"/>
    <row r="587" s="26" customFormat="1" x14ac:dyDescent="0.25"/>
    <row r="588" s="26" customFormat="1" x14ac:dyDescent="0.25"/>
    <row r="589" s="26" customFormat="1" x14ac:dyDescent="0.25"/>
    <row r="590" s="26" customFormat="1" x14ac:dyDescent="0.25"/>
    <row r="591" s="26" customFormat="1" x14ac:dyDescent="0.25"/>
    <row r="592" s="26" customFormat="1" x14ac:dyDescent="0.25"/>
    <row r="593" s="26" customFormat="1" x14ac:dyDescent="0.25"/>
    <row r="594" s="26" customFormat="1" x14ac:dyDescent="0.25"/>
    <row r="595" s="26" customFormat="1" x14ac:dyDescent="0.25"/>
    <row r="596" s="26" customFormat="1" x14ac:dyDescent="0.25"/>
    <row r="597" s="26" customFormat="1" x14ac:dyDescent="0.25"/>
    <row r="598" s="26" customFormat="1" x14ac:dyDescent="0.25"/>
    <row r="599" s="26" customFormat="1" x14ac:dyDescent="0.25"/>
    <row r="600" s="26" customFormat="1" x14ac:dyDescent="0.25"/>
    <row r="601" s="26" customFormat="1" x14ac:dyDescent="0.25"/>
    <row r="602" s="26" customFormat="1" x14ac:dyDescent="0.25"/>
    <row r="603" s="26" customFormat="1" x14ac:dyDescent="0.25"/>
    <row r="604" s="26" customFormat="1" x14ac:dyDescent="0.25"/>
    <row r="605" s="26" customFormat="1" x14ac:dyDescent="0.25"/>
    <row r="606" s="26" customFormat="1" x14ac:dyDescent="0.25"/>
    <row r="607" s="26" customFormat="1" x14ac:dyDescent="0.25"/>
    <row r="608" s="26" customFormat="1" x14ac:dyDescent="0.25"/>
    <row r="609" s="26" customFormat="1" x14ac:dyDescent="0.25"/>
    <row r="610" s="26" customFormat="1" x14ac:dyDescent="0.25"/>
    <row r="611" s="26" customFormat="1" x14ac:dyDescent="0.25"/>
    <row r="612" s="26" customFormat="1" x14ac:dyDescent="0.25"/>
    <row r="613" s="26" customFormat="1" x14ac:dyDescent="0.25"/>
    <row r="614" s="26" customFormat="1" x14ac:dyDescent="0.25"/>
    <row r="615" s="26" customFormat="1" x14ac:dyDescent="0.25"/>
    <row r="616" s="26" customFormat="1" x14ac:dyDescent="0.25"/>
    <row r="617" s="26" customFormat="1" x14ac:dyDescent="0.25"/>
    <row r="618" s="26" customFormat="1" x14ac:dyDescent="0.25"/>
    <row r="619" s="26" customFormat="1" x14ac:dyDescent="0.25"/>
    <row r="620" s="26" customFormat="1" x14ac:dyDescent="0.25"/>
    <row r="621" s="26" customFormat="1" x14ac:dyDescent="0.25"/>
    <row r="622" s="26" customFormat="1" x14ac:dyDescent="0.25"/>
    <row r="623" s="26" customFormat="1" x14ac:dyDescent="0.25"/>
    <row r="624" s="26" customFormat="1" x14ac:dyDescent="0.25"/>
    <row r="625" s="26" customFormat="1" x14ac:dyDescent="0.25"/>
    <row r="626" s="26" customFormat="1" x14ac:dyDescent="0.25"/>
    <row r="627" s="26" customFormat="1" x14ac:dyDescent="0.25"/>
    <row r="628" s="26" customFormat="1" x14ac:dyDescent="0.25"/>
    <row r="629" s="26" customFormat="1" x14ac:dyDescent="0.25"/>
    <row r="630" s="26" customFormat="1" x14ac:dyDescent="0.25"/>
    <row r="631" s="26" customFormat="1" x14ac:dyDescent="0.25"/>
    <row r="632" s="26" customFormat="1" x14ac:dyDescent="0.25"/>
    <row r="633" s="26" customFormat="1" x14ac:dyDescent="0.25"/>
    <row r="634" s="26" customFormat="1" x14ac:dyDescent="0.25"/>
    <row r="635" s="26" customFormat="1" x14ac:dyDescent="0.25"/>
    <row r="636" s="26" customFormat="1" x14ac:dyDescent="0.25"/>
    <row r="637" s="26" customFormat="1" x14ac:dyDescent="0.25"/>
    <row r="638" s="26" customFormat="1" x14ac:dyDescent="0.25"/>
    <row r="639" s="26" customFormat="1" x14ac:dyDescent="0.25"/>
    <row r="640" s="26" customFormat="1" x14ac:dyDescent="0.25"/>
    <row r="641" s="26" customFormat="1" x14ac:dyDescent="0.25"/>
    <row r="642" s="26" customFormat="1" x14ac:dyDescent="0.25"/>
    <row r="643" s="26" customFormat="1" x14ac:dyDescent="0.25"/>
    <row r="644" s="26" customFormat="1" x14ac:dyDescent="0.25"/>
    <row r="645" s="26" customFormat="1" x14ac:dyDescent="0.25"/>
    <row r="646" s="26" customFormat="1" x14ac:dyDescent="0.25"/>
    <row r="647" s="26" customFormat="1" x14ac:dyDescent="0.25"/>
    <row r="648" s="26" customFormat="1" x14ac:dyDescent="0.25"/>
    <row r="649" s="26" customFormat="1" x14ac:dyDescent="0.25"/>
    <row r="650" s="26" customFormat="1" x14ac:dyDescent="0.25"/>
    <row r="651" s="26" customFormat="1" x14ac:dyDescent="0.25"/>
    <row r="652" s="26" customFormat="1" x14ac:dyDescent="0.25"/>
    <row r="653" s="26" customFormat="1" x14ac:dyDescent="0.25"/>
    <row r="654" s="26" customFormat="1" x14ac:dyDescent="0.25"/>
    <row r="655" s="26" customFormat="1" x14ac:dyDescent="0.25"/>
    <row r="656" s="26" customFormat="1" x14ac:dyDescent="0.25"/>
    <row r="657" s="26" customFormat="1" x14ac:dyDescent="0.25"/>
    <row r="658" s="26" customFormat="1" x14ac:dyDescent="0.25"/>
    <row r="659" s="26" customFormat="1" x14ac:dyDescent="0.25"/>
    <row r="660" s="26" customFormat="1" x14ac:dyDescent="0.25"/>
    <row r="661" s="26" customFormat="1" x14ac:dyDescent="0.25"/>
    <row r="662" s="26" customFormat="1" x14ac:dyDescent="0.25"/>
    <row r="663" s="26" customFormat="1" x14ac:dyDescent="0.25"/>
    <row r="664" s="26" customFormat="1" x14ac:dyDescent="0.25"/>
    <row r="665" s="26" customFormat="1" x14ac:dyDescent="0.25"/>
    <row r="666" s="26" customFormat="1" x14ac:dyDescent="0.25"/>
    <row r="667" s="26" customFormat="1" x14ac:dyDescent="0.25"/>
    <row r="668" s="26" customFormat="1" x14ac:dyDescent="0.25"/>
    <row r="669" s="26" customFormat="1" x14ac:dyDescent="0.25"/>
    <row r="670" s="26" customFormat="1" x14ac:dyDescent="0.25"/>
    <row r="671" s="26" customFormat="1" x14ac:dyDescent="0.25"/>
    <row r="672" s="26" customFormat="1" x14ac:dyDescent="0.25"/>
    <row r="673" s="26" customFormat="1" x14ac:dyDescent="0.25"/>
    <row r="674" s="26" customFormat="1" x14ac:dyDescent="0.25"/>
    <row r="675" s="26" customFormat="1" x14ac:dyDescent="0.25"/>
    <row r="676" s="26" customFormat="1" x14ac:dyDescent="0.25"/>
    <row r="677" s="26" customFormat="1" x14ac:dyDescent="0.25"/>
    <row r="678" s="26" customFormat="1" x14ac:dyDescent="0.25"/>
    <row r="679" s="26" customFormat="1" x14ac:dyDescent="0.25"/>
    <row r="680" s="26" customFormat="1" x14ac:dyDescent="0.25"/>
    <row r="681" s="26" customFormat="1" x14ac:dyDescent="0.25"/>
  </sheetData>
  <mergeCells count="7">
    <mergeCell ref="C64:H68"/>
    <mergeCell ref="C8:E8"/>
    <mergeCell ref="C15:E15"/>
    <mergeCell ref="C25:E25"/>
    <mergeCell ref="C49:E49"/>
    <mergeCell ref="C57:E57"/>
    <mergeCell ref="C62:D6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A9C-D0D1-6F4C-A59E-3863B3F6F898}">
  <sheetPr codeName="Sheet1"/>
  <dimension ref="A1:CT992"/>
  <sheetViews>
    <sheetView showGridLines="0" zoomScaleNormal="100" workbookViewId="0">
      <pane ySplit="6" topLeftCell="A7" activePane="bottomLeft" state="frozen"/>
      <selection pane="bottomLeft" activeCell="M37" sqref="M37"/>
    </sheetView>
  </sheetViews>
  <sheetFormatPr defaultColWidth="11" defaultRowHeight="15.75" x14ac:dyDescent="0.25"/>
  <cols>
    <col min="1" max="1" width="20.875" style="26" customWidth="1"/>
    <col min="2" max="2" width="5.875" customWidth="1"/>
    <col min="3" max="3" width="2.875" customWidth="1"/>
    <col min="4" max="4" width="41.5" bestFit="1" customWidth="1"/>
    <col min="5" max="5" width="3.875" customWidth="1"/>
    <col min="6" max="8" width="20.875" customWidth="1"/>
    <col min="9" max="9" width="5.875" customWidth="1"/>
    <col min="10" max="10" width="3" style="26" customWidth="1"/>
    <col min="11" max="98" width="11" style="26"/>
  </cols>
  <sheetData>
    <row r="1" spans="1:98" s="26" customFormat="1" ht="39.950000000000003" customHeight="1" x14ac:dyDescent="0.25"/>
    <row r="2" spans="1:98" ht="24.95" customHeight="1" x14ac:dyDescent="0.4">
      <c r="K2" s="51" t="s">
        <v>56</v>
      </c>
      <c r="L2" s="51"/>
      <c r="M2" s="51"/>
      <c r="N2" s="51"/>
      <c r="O2" s="51"/>
    </row>
    <row r="3" spans="1:98" ht="36.950000000000003" customHeight="1" x14ac:dyDescent="0.55000000000000004">
      <c r="D3" s="36" t="s">
        <v>25</v>
      </c>
      <c r="H3" s="13" t="s">
        <v>53</v>
      </c>
      <c r="K3" s="52" t="s">
        <v>58</v>
      </c>
      <c r="L3" s="52"/>
      <c r="M3" s="52"/>
      <c r="N3" s="52"/>
      <c r="O3" s="52"/>
    </row>
    <row r="4" spans="1:98" ht="24" x14ac:dyDescent="0.4">
      <c r="D4" s="35" t="s">
        <v>52</v>
      </c>
      <c r="K4" s="52"/>
      <c r="L4" s="52"/>
      <c r="M4" s="52"/>
      <c r="N4" s="52"/>
      <c r="O4" s="52"/>
    </row>
    <row r="5" spans="1:98" ht="24" x14ac:dyDescent="0.4">
      <c r="K5" s="49" t="s">
        <v>59</v>
      </c>
    </row>
    <row r="6" spans="1:98" s="2" customFormat="1" ht="24.95" customHeight="1" x14ac:dyDescent="0.25">
      <c r="A6" s="27"/>
      <c r="F6" s="6">
        <v>2023</v>
      </c>
      <c r="G6" s="6">
        <v>2022</v>
      </c>
      <c r="H6" s="6">
        <v>2021</v>
      </c>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row>
    <row r="7" spans="1:98" s="2" customFormat="1" ht="20.100000000000001" customHeight="1" thickBot="1" x14ac:dyDescent="0.3">
      <c r="A7" s="27"/>
      <c r="C7" s="58" t="s">
        <v>0</v>
      </c>
      <c r="D7" s="58"/>
      <c r="E7" s="58"/>
      <c r="F7" s="3"/>
      <c r="G7" s="3"/>
      <c r="H7" s="3"/>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row>
    <row r="8" spans="1:98" s="2" customFormat="1" ht="20.100000000000001" customHeight="1" x14ac:dyDescent="0.4">
      <c r="A8" s="27"/>
      <c r="D8" s="31" t="s">
        <v>38</v>
      </c>
      <c r="F8" s="7"/>
      <c r="G8" s="7"/>
      <c r="H8" s="7"/>
      <c r="J8" s="27"/>
      <c r="K8" s="51" t="s">
        <v>55</v>
      </c>
      <c r="L8" s="51"/>
      <c r="M8" s="51"/>
      <c r="N8" s="51"/>
      <c r="O8" s="51"/>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row>
    <row r="9" spans="1:98" s="2" customFormat="1" ht="20.100000000000001" customHeight="1" thickBot="1" x14ac:dyDescent="0.3">
      <c r="A9" s="27"/>
      <c r="D9" s="32" t="s">
        <v>39</v>
      </c>
      <c r="F9" s="7"/>
      <c r="G9" s="7"/>
      <c r="H9" s="7"/>
      <c r="J9" s="27"/>
      <c r="K9" s="44"/>
      <c r="L9" s="44"/>
      <c r="M9" s="44"/>
      <c r="N9" s="44"/>
      <c r="O9" s="44"/>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row>
    <row r="10" spans="1:98" s="2" customFormat="1" ht="20.100000000000001" customHeight="1" x14ac:dyDescent="0.25">
      <c r="A10" s="27"/>
      <c r="D10" s="31" t="s">
        <v>40</v>
      </c>
      <c r="F10" s="7"/>
      <c r="G10" s="7"/>
      <c r="H10" s="7"/>
      <c r="J10" s="27"/>
      <c r="K10" s="59" t="s">
        <v>61</v>
      </c>
      <c r="L10" s="59"/>
      <c r="M10" s="59"/>
      <c r="N10" s="59"/>
      <c r="O10" s="59"/>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row>
    <row r="11" spans="1:98" s="2" customFormat="1" ht="20.100000000000001" customHeight="1" x14ac:dyDescent="0.25">
      <c r="A11" s="27"/>
      <c r="D11" s="32" t="s">
        <v>41</v>
      </c>
      <c r="F11" s="8"/>
      <c r="G11" s="8"/>
      <c r="H11" s="8"/>
      <c r="J11" s="27"/>
      <c r="K11" s="60"/>
      <c r="L11" s="60"/>
      <c r="M11" s="60"/>
      <c r="N11" s="60"/>
      <c r="O11" s="60"/>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row>
    <row r="12" spans="1:98" s="2" customFormat="1" ht="20.100000000000001" customHeight="1" x14ac:dyDescent="0.25">
      <c r="A12" s="27"/>
      <c r="D12" s="32" t="s">
        <v>42</v>
      </c>
      <c r="F12" s="8"/>
      <c r="G12" s="8"/>
      <c r="H12" s="8"/>
      <c r="J12" s="27"/>
      <c r="K12" s="60"/>
      <c r="L12" s="60"/>
      <c r="M12" s="60"/>
      <c r="N12" s="60"/>
      <c r="O12" s="60"/>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row>
    <row r="13" spans="1:98" s="2" customFormat="1" ht="20.100000000000001" customHeight="1" x14ac:dyDescent="0.25">
      <c r="A13" s="27"/>
      <c r="F13" s="9"/>
      <c r="G13" s="9"/>
      <c r="H13" s="9"/>
      <c r="J13" s="27"/>
      <c r="K13" s="60"/>
      <c r="L13" s="60"/>
      <c r="M13" s="60"/>
      <c r="N13" s="60"/>
      <c r="O13" s="60"/>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row>
    <row r="14" spans="1:98" s="2" customFormat="1" ht="24.95" customHeight="1" x14ac:dyDescent="0.25">
      <c r="A14" s="27"/>
      <c r="D14" s="40" t="s">
        <v>43</v>
      </c>
      <c r="E14" s="4"/>
      <c r="F14" s="19">
        <f>SUM(F8:F13)</f>
        <v>0</v>
      </c>
      <c r="G14" s="19">
        <f t="shared" ref="G14:H14" si="0">SUM(G8:G13)</f>
        <v>0</v>
      </c>
      <c r="H14" s="19">
        <f t="shared" si="0"/>
        <v>0</v>
      </c>
      <c r="J14" s="27"/>
      <c r="K14" s="60"/>
      <c r="L14" s="60"/>
      <c r="M14" s="60"/>
      <c r="N14" s="60"/>
      <c r="O14" s="60"/>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row>
    <row r="15" spans="1:98" s="2" customFormat="1" ht="20.100000000000001" customHeight="1" x14ac:dyDescent="0.25">
      <c r="A15" s="27"/>
      <c r="F15" s="9"/>
      <c r="G15" s="9"/>
      <c r="H15" s="9"/>
      <c r="J15" s="27"/>
      <c r="K15" s="60"/>
      <c r="L15" s="60"/>
      <c r="M15" s="60"/>
      <c r="N15" s="60"/>
      <c r="O15" s="60"/>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row>
    <row r="16" spans="1:98" s="2" customFormat="1" ht="24.95" customHeight="1" thickBot="1" x14ac:dyDescent="0.3">
      <c r="A16" s="27"/>
      <c r="C16" s="58" t="s">
        <v>6</v>
      </c>
      <c r="D16" s="58"/>
      <c r="E16" s="58"/>
      <c r="F16" s="10"/>
      <c r="G16" s="10"/>
      <c r="H16" s="10"/>
      <c r="J16" s="27"/>
      <c r="K16" s="60"/>
      <c r="L16" s="60"/>
      <c r="M16" s="60"/>
      <c r="N16" s="60"/>
      <c r="O16" s="60"/>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row>
    <row r="17" spans="1:98" s="2" customFormat="1" ht="20.100000000000001" customHeight="1" x14ac:dyDescent="0.25">
      <c r="A17" s="27"/>
      <c r="D17" s="31" t="s">
        <v>17</v>
      </c>
      <c r="F17" s="7"/>
      <c r="G17" s="7"/>
      <c r="H17" s="7"/>
      <c r="J17" s="27"/>
      <c r="K17" s="60"/>
      <c r="L17" s="60"/>
      <c r="M17" s="60"/>
      <c r="N17" s="60"/>
      <c r="O17" s="60"/>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row>
    <row r="18" spans="1:98" s="2" customFormat="1" ht="20.100000000000001" customHeight="1" x14ac:dyDescent="0.25">
      <c r="A18" s="27"/>
      <c r="D18" s="32" t="s">
        <v>27</v>
      </c>
      <c r="F18" s="8"/>
      <c r="G18" s="8"/>
      <c r="H18" s="8"/>
      <c r="J18" s="27"/>
      <c r="K18" s="60"/>
      <c r="L18" s="60"/>
      <c r="M18" s="60"/>
      <c r="N18" s="60"/>
      <c r="O18" s="60"/>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row>
    <row r="19" spans="1:98" s="2" customFormat="1" ht="20.100000000000001" customHeight="1" x14ac:dyDescent="0.25">
      <c r="A19" s="27"/>
      <c r="D19" s="32" t="s">
        <v>18</v>
      </c>
      <c r="F19" s="8"/>
      <c r="G19" s="8"/>
      <c r="H19" s="8"/>
      <c r="J19" s="27"/>
      <c r="K19" s="60"/>
      <c r="L19" s="60"/>
      <c r="M19" s="60"/>
      <c r="N19" s="60"/>
      <c r="O19" s="60"/>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row>
    <row r="20" spans="1:98" s="2" customFormat="1" ht="20.100000000000001" customHeight="1" x14ac:dyDescent="0.25">
      <c r="A20" s="27"/>
      <c r="D20" s="32" t="s">
        <v>19</v>
      </c>
      <c r="F20" s="8"/>
      <c r="G20" s="8"/>
      <c r="H20" s="8"/>
      <c r="J20" s="27"/>
      <c r="K20" s="60"/>
      <c r="L20" s="60"/>
      <c r="M20" s="60"/>
      <c r="N20" s="60"/>
      <c r="O20" s="60"/>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row>
    <row r="21" spans="1:98" s="2" customFormat="1" ht="20.100000000000001" customHeight="1" x14ac:dyDescent="0.25">
      <c r="A21" s="27"/>
      <c r="D21" s="32" t="s">
        <v>7</v>
      </c>
      <c r="F21" s="8"/>
      <c r="G21" s="8"/>
      <c r="H21" s="8"/>
      <c r="J21" s="27"/>
      <c r="K21" s="60"/>
      <c r="L21" s="60"/>
      <c r="M21" s="60"/>
      <c r="N21" s="60"/>
      <c r="O21" s="60"/>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row>
    <row r="22" spans="1:98" s="2" customFormat="1" ht="20.100000000000001" customHeight="1" x14ac:dyDescent="0.25">
      <c r="A22" s="27"/>
      <c r="D22" s="32" t="s">
        <v>28</v>
      </c>
      <c r="F22" s="8"/>
      <c r="G22" s="8"/>
      <c r="H22" s="8"/>
      <c r="J22" s="27"/>
      <c r="K22" s="60"/>
      <c r="L22" s="60"/>
      <c r="M22" s="60"/>
      <c r="N22" s="60"/>
      <c r="O22" s="60"/>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row>
    <row r="23" spans="1:98" s="2" customFormat="1" ht="20.100000000000001" customHeight="1" x14ac:dyDescent="0.25">
      <c r="A23" s="27"/>
      <c r="D23" s="32" t="s">
        <v>8</v>
      </c>
      <c r="F23" s="8"/>
      <c r="G23" s="8"/>
      <c r="H23" s="8"/>
      <c r="J23" s="27"/>
      <c r="K23" s="60"/>
      <c r="L23" s="60"/>
      <c r="M23" s="60"/>
      <c r="N23" s="60"/>
      <c r="O23" s="60"/>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row>
    <row r="24" spans="1:98" s="2" customFormat="1" ht="20.100000000000001" customHeight="1" x14ac:dyDescent="0.25">
      <c r="A24" s="27"/>
      <c r="D24" s="32" t="s">
        <v>9</v>
      </c>
      <c r="F24" s="8"/>
      <c r="G24" s="8"/>
      <c r="H24" s="8"/>
      <c r="J24" s="27"/>
      <c r="K24" s="60"/>
      <c r="L24" s="60"/>
      <c r="M24" s="60"/>
      <c r="N24" s="60"/>
      <c r="O24" s="60"/>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row>
    <row r="25" spans="1:98" s="2" customFormat="1" ht="20.100000000000001" customHeight="1" x14ac:dyDescent="0.25">
      <c r="A25" s="27"/>
      <c r="D25" s="32" t="s">
        <v>13</v>
      </c>
      <c r="F25" s="8"/>
      <c r="G25" s="8"/>
      <c r="H25" s="8"/>
      <c r="J25" s="27"/>
      <c r="K25" s="60"/>
      <c r="L25" s="60"/>
      <c r="M25" s="60"/>
      <c r="N25" s="60"/>
      <c r="O25" s="60"/>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row>
    <row r="26" spans="1:98" s="2" customFormat="1" ht="20.100000000000001" customHeight="1" x14ac:dyDescent="0.25">
      <c r="A26" s="27"/>
      <c r="D26" s="32" t="s">
        <v>10</v>
      </c>
      <c r="F26" s="8"/>
      <c r="G26" s="8"/>
      <c r="H26" s="8"/>
      <c r="J26" s="27"/>
      <c r="K26" s="42"/>
      <c r="L26" s="42"/>
      <c r="M26" s="42"/>
      <c r="N26" s="42"/>
      <c r="O26" s="42"/>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row>
    <row r="27" spans="1:98" s="2" customFormat="1" ht="20.100000000000001" customHeight="1" x14ac:dyDescent="0.25">
      <c r="A27" s="27"/>
      <c r="D27" s="32" t="s">
        <v>11</v>
      </c>
      <c r="F27" s="8"/>
      <c r="G27" s="8"/>
      <c r="H27" s="8"/>
      <c r="J27" s="27"/>
      <c r="K27" s="54" t="s">
        <v>60</v>
      </c>
      <c r="L27" s="54"/>
      <c r="M27" s="54"/>
      <c r="N27" s="54"/>
      <c r="O27" s="54"/>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row>
    <row r="28" spans="1:98" s="2" customFormat="1" ht="20.100000000000001" customHeight="1" x14ac:dyDescent="0.25">
      <c r="A28" s="27"/>
      <c r="D28" s="32" t="s">
        <v>16</v>
      </c>
      <c r="F28" s="8"/>
      <c r="G28" s="8"/>
      <c r="H28" s="8"/>
      <c r="J28" s="27"/>
      <c r="K28" s="54"/>
      <c r="L28" s="54"/>
      <c r="M28" s="54"/>
      <c r="N28" s="54"/>
      <c r="O28" s="54"/>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row>
    <row r="29" spans="1:98" s="2" customFormat="1" ht="20.100000000000001" customHeight="1" thickBot="1" x14ac:dyDescent="0.3">
      <c r="A29" s="27"/>
      <c r="D29" s="32" t="s">
        <v>20</v>
      </c>
      <c r="F29" s="8"/>
      <c r="G29" s="8"/>
      <c r="H29" s="8"/>
      <c r="J29" s="27"/>
      <c r="K29" s="43"/>
      <c r="L29" s="43"/>
      <c r="M29" s="43"/>
      <c r="N29" s="43"/>
      <c r="O29" s="43"/>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row>
    <row r="30" spans="1:98" s="2" customFormat="1" ht="20.100000000000001" customHeight="1" x14ac:dyDescent="0.25">
      <c r="A30" s="27"/>
      <c r="D30" s="32" t="s">
        <v>21</v>
      </c>
      <c r="F30" s="8"/>
      <c r="G30" s="8"/>
      <c r="H30" s="8"/>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row>
    <row r="31" spans="1:98" s="2" customFormat="1" ht="20.100000000000001" customHeight="1" x14ac:dyDescent="0.4">
      <c r="A31" s="27"/>
      <c r="D31" s="32" t="s">
        <v>26</v>
      </c>
      <c r="F31" s="8"/>
      <c r="G31" s="8"/>
      <c r="H31" s="8"/>
      <c r="J31" s="27"/>
      <c r="K31" s="51"/>
      <c r="L31" s="51"/>
      <c r="M31" s="51"/>
      <c r="N31" s="51"/>
      <c r="O31" s="51"/>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row>
    <row r="32" spans="1:98" s="2" customFormat="1" ht="20.100000000000001" customHeight="1" x14ac:dyDescent="0.25">
      <c r="A32" s="27"/>
      <c r="D32" s="32" t="s">
        <v>12</v>
      </c>
      <c r="F32" s="8"/>
      <c r="G32" s="8"/>
      <c r="H32" s="8"/>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row>
    <row r="33" spans="1:98" s="2" customFormat="1" ht="20.100000000000001" customHeight="1" x14ac:dyDescent="0.25">
      <c r="A33" s="27"/>
      <c r="D33" s="32" t="s">
        <v>29</v>
      </c>
      <c r="F33" s="8"/>
      <c r="G33" s="8"/>
      <c r="H33" s="8"/>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row>
    <row r="34" spans="1:98" s="2" customFormat="1" ht="20.100000000000001" customHeight="1" x14ac:dyDescent="0.25">
      <c r="A34" s="27"/>
      <c r="D34" s="32" t="s">
        <v>30</v>
      </c>
      <c r="F34" s="8"/>
      <c r="G34" s="8"/>
      <c r="H34" s="8"/>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row>
    <row r="35" spans="1:98" s="2" customFormat="1" ht="20.100000000000001" customHeight="1" x14ac:dyDescent="0.25">
      <c r="A35" s="27"/>
      <c r="D35" s="32" t="s">
        <v>14</v>
      </c>
      <c r="F35" s="8"/>
      <c r="G35" s="8"/>
      <c r="H35" s="8"/>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row>
    <row r="36" spans="1:98" s="2" customFormat="1" ht="20.100000000000001" customHeight="1" x14ac:dyDescent="0.25">
      <c r="A36" s="27"/>
      <c r="D36" s="32" t="s">
        <v>15</v>
      </c>
      <c r="F36" s="8"/>
      <c r="G36" s="8"/>
      <c r="H36" s="8"/>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row>
    <row r="37" spans="1:98" s="2" customFormat="1" ht="20.100000000000001" customHeight="1" x14ac:dyDescent="0.25">
      <c r="A37" s="27"/>
      <c r="D37" s="32" t="s">
        <v>31</v>
      </c>
      <c r="F37" s="8"/>
      <c r="G37" s="8"/>
      <c r="H37" s="8"/>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row>
    <row r="38" spans="1:98" s="2" customFormat="1" ht="20.100000000000001" customHeight="1" x14ac:dyDescent="0.25">
      <c r="A38" s="27"/>
      <c r="F38" s="9"/>
      <c r="G38" s="9"/>
      <c r="H38" s="9"/>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row>
    <row r="39" spans="1:98" s="2" customFormat="1" ht="24.95" customHeight="1" x14ac:dyDescent="0.25">
      <c r="A39" s="27"/>
      <c r="D39" s="40" t="s">
        <v>32</v>
      </c>
      <c r="E39" s="4"/>
      <c r="F39" s="33">
        <f>SUM(F17:F38)</f>
        <v>0</v>
      </c>
      <c r="G39" s="33">
        <f>SUM(G17:G38)</f>
        <v>0</v>
      </c>
      <c r="H39" s="33">
        <f>SUM(H17:H38)</f>
        <v>0</v>
      </c>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row>
    <row r="40" spans="1:98" s="2" customFormat="1" ht="20.100000000000001" customHeight="1" x14ac:dyDescent="0.25">
      <c r="A40" s="27"/>
      <c r="F40" s="9"/>
      <c r="G40" s="9"/>
      <c r="H40" s="9"/>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row>
    <row r="41" spans="1:98" s="2" customFormat="1" ht="24.95" customHeight="1" x14ac:dyDescent="0.25">
      <c r="A41" s="27"/>
      <c r="D41" s="40" t="s">
        <v>33</v>
      </c>
      <c r="E41" s="4"/>
      <c r="F41" s="33">
        <f>+F14+F39</f>
        <v>0</v>
      </c>
      <c r="G41" s="33">
        <f>+G14+G39</f>
        <v>0</v>
      </c>
      <c r="H41" s="33">
        <f>+H14+H39</f>
        <v>0</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row>
    <row r="42" spans="1:98" s="2" customFormat="1" ht="20.100000000000001" customHeight="1" x14ac:dyDescent="0.25">
      <c r="A42" s="27"/>
      <c r="D42" s="32" t="s">
        <v>34</v>
      </c>
      <c r="F42" s="8"/>
      <c r="G42" s="8"/>
      <c r="H42" s="8"/>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row>
    <row r="43" spans="1:98" s="2" customFormat="1" ht="20.100000000000001" customHeight="1" x14ac:dyDescent="0.25">
      <c r="A43" s="27"/>
      <c r="F43" s="9"/>
      <c r="G43" s="9"/>
      <c r="H43" s="9"/>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row>
    <row r="44" spans="1:98" s="5" customFormat="1" ht="24.95" customHeight="1" x14ac:dyDescent="0.25">
      <c r="A44" s="28"/>
      <c r="D44" s="40" t="s">
        <v>24</v>
      </c>
      <c r="E44" s="4"/>
      <c r="F44" s="33">
        <f>+F41+F42</f>
        <v>0</v>
      </c>
      <c r="G44" s="33">
        <f t="shared" ref="G44:H44" si="1">+G41+G42</f>
        <v>0</v>
      </c>
      <c r="H44" s="33">
        <f t="shared" si="1"/>
        <v>0</v>
      </c>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row>
    <row r="45" spans="1:98" s="5" customFormat="1" ht="20.100000000000001" customHeight="1" x14ac:dyDescent="0.25">
      <c r="A45" s="28"/>
      <c r="F45" s="11"/>
      <c r="G45" s="11"/>
      <c r="H45" s="11"/>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row>
    <row r="46" spans="1:98" s="5" customFormat="1" ht="24.95" customHeight="1" thickBot="1" x14ac:dyDescent="0.3">
      <c r="A46" s="28"/>
      <c r="C46" s="58" t="s">
        <v>22</v>
      </c>
      <c r="D46" s="58"/>
      <c r="E46" s="58"/>
      <c r="F46" s="12"/>
      <c r="G46" s="12"/>
      <c r="H46" s="12"/>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row>
    <row r="47" spans="1:98" s="5" customFormat="1" ht="20.100000000000001" customHeight="1" x14ac:dyDescent="0.25">
      <c r="A47" s="28"/>
      <c r="D47" s="31" t="s">
        <v>35</v>
      </c>
      <c r="F47" s="7"/>
      <c r="G47" s="7"/>
      <c r="H47" s="7"/>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row>
    <row r="48" spans="1:98" s="5" customFormat="1" ht="20.100000000000001" customHeight="1" x14ac:dyDescent="0.25">
      <c r="A48" s="28"/>
      <c r="D48" s="32" t="s">
        <v>36</v>
      </c>
      <c r="F48" s="8"/>
      <c r="G48" s="8"/>
      <c r="H48" s="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row>
    <row r="49" spans="1:98" s="5" customFormat="1" ht="20.100000000000001" customHeight="1" x14ac:dyDescent="0.25">
      <c r="A49" s="28"/>
      <c r="D49" s="32" t="s">
        <v>37</v>
      </c>
      <c r="F49" s="8"/>
      <c r="G49" s="8"/>
      <c r="H49" s="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row>
    <row r="50" spans="1:98" s="5" customFormat="1" ht="20.100000000000001" customHeight="1" x14ac:dyDescent="0.25">
      <c r="A50" s="28"/>
      <c r="F50" s="11"/>
      <c r="G50" s="11"/>
      <c r="H50" s="11"/>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row>
    <row r="51" spans="1:98" s="5" customFormat="1" ht="24.95" customHeight="1" thickBot="1" x14ac:dyDescent="0.3">
      <c r="A51" s="28"/>
      <c r="C51" s="56" t="s">
        <v>44</v>
      </c>
      <c r="D51" s="56"/>
      <c r="E51" s="34"/>
      <c r="F51" s="37">
        <f>+F44+SUM(F47:F50)</f>
        <v>0</v>
      </c>
      <c r="G51" s="37">
        <f t="shared" ref="G51:H51" si="2">+G44+SUM(G47:G50)</f>
        <v>0</v>
      </c>
      <c r="H51" s="37">
        <f t="shared" si="2"/>
        <v>0</v>
      </c>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row>
    <row r="52" spans="1:98" s="1" customFormat="1" x14ac:dyDescent="0.25">
      <c r="A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row>
    <row r="53" spans="1:98" s="1" customFormat="1" x14ac:dyDescent="0.25">
      <c r="A53" s="29"/>
      <c r="C53" s="57"/>
      <c r="D53" s="57"/>
      <c r="E53" s="57"/>
      <c r="F53" s="57"/>
      <c r="G53" s="57"/>
      <c r="H53" s="57"/>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row>
    <row r="54" spans="1:98" s="1" customFormat="1" x14ac:dyDescent="0.25">
      <c r="A54" s="29"/>
      <c r="C54" s="57"/>
      <c r="D54" s="57"/>
      <c r="E54" s="57"/>
      <c r="F54" s="57"/>
      <c r="G54" s="57"/>
      <c r="H54" s="57"/>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row>
    <row r="55" spans="1:98" s="1" customFormat="1" x14ac:dyDescent="0.25">
      <c r="A55" s="29"/>
      <c r="C55" s="57"/>
      <c r="D55" s="57"/>
      <c r="E55" s="57"/>
      <c r="F55" s="57"/>
      <c r="G55" s="57"/>
      <c r="H55" s="57"/>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row>
    <row r="56" spans="1:98" s="1" customFormat="1" x14ac:dyDescent="0.25">
      <c r="A56" s="29"/>
      <c r="C56" s="57"/>
      <c r="D56" s="57"/>
      <c r="E56" s="57"/>
      <c r="F56" s="57"/>
      <c r="G56" s="57"/>
      <c r="H56" s="57"/>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row>
    <row r="57" spans="1:98" s="1" customFormat="1" x14ac:dyDescent="0.25">
      <c r="A57" s="29"/>
      <c r="C57" s="57"/>
      <c r="D57" s="57"/>
      <c r="E57" s="57"/>
      <c r="F57" s="57"/>
      <c r="G57" s="57"/>
      <c r="H57" s="57"/>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row>
    <row r="58" spans="1:98" s="1" customFormat="1" x14ac:dyDescent="0.25">
      <c r="A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row>
    <row r="59" spans="1:98" s="29" customFormat="1" x14ac:dyDescent="0.25"/>
    <row r="60" spans="1:98" s="26" customFormat="1" x14ac:dyDescent="0.25"/>
    <row r="61" spans="1:98" s="26" customFormat="1" x14ac:dyDescent="0.25"/>
    <row r="62" spans="1:98" s="26" customFormat="1" x14ac:dyDescent="0.25"/>
    <row r="63" spans="1:98" s="26" customFormat="1" x14ac:dyDescent="0.25"/>
    <row r="64" spans="1:98" s="26" customFormat="1" x14ac:dyDescent="0.25"/>
    <row r="65" s="26" customFormat="1" x14ac:dyDescent="0.25"/>
    <row r="66" s="26" customFormat="1" x14ac:dyDescent="0.25"/>
    <row r="67" s="26" customFormat="1" x14ac:dyDescent="0.25"/>
    <row r="68" s="26" customFormat="1" x14ac:dyDescent="0.25"/>
    <row r="69" s="26" customFormat="1" x14ac:dyDescent="0.25"/>
    <row r="70" s="26" customFormat="1" x14ac:dyDescent="0.25"/>
    <row r="71" s="26" customFormat="1" x14ac:dyDescent="0.25"/>
    <row r="72" s="26" customFormat="1" x14ac:dyDescent="0.25"/>
    <row r="73" s="26" customFormat="1" x14ac:dyDescent="0.25"/>
    <row r="74" s="26" customFormat="1" x14ac:dyDescent="0.25"/>
    <row r="75" s="26" customFormat="1" x14ac:dyDescent="0.25"/>
    <row r="76" s="26" customFormat="1" x14ac:dyDescent="0.25"/>
    <row r="77" s="26" customFormat="1" x14ac:dyDescent="0.25"/>
    <row r="78" s="26" customFormat="1" x14ac:dyDescent="0.25"/>
    <row r="79" s="26" customFormat="1" x14ac:dyDescent="0.25"/>
    <row r="80" s="26" customFormat="1" x14ac:dyDescent="0.25"/>
    <row r="81" s="26" customFormat="1" x14ac:dyDescent="0.25"/>
    <row r="82" s="26" customFormat="1" x14ac:dyDescent="0.25"/>
    <row r="83" s="26" customFormat="1" x14ac:dyDescent="0.25"/>
    <row r="84" s="26" customFormat="1" x14ac:dyDescent="0.25"/>
    <row r="85" s="26" customFormat="1" x14ac:dyDescent="0.25"/>
    <row r="86" s="26" customFormat="1" x14ac:dyDescent="0.25"/>
    <row r="87" s="26" customFormat="1" x14ac:dyDescent="0.25"/>
    <row r="88" s="26" customFormat="1" x14ac:dyDescent="0.25"/>
    <row r="89" s="26" customFormat="1" x14ac:dyDescent="0.25"/>
    <row r="90" s="26" customFormat="1" x14ac:dyDescent="0.25"/>
    <row r="91" s="26" customFormat="1" x14ac:dyDescent="0.25"/>
    <row r="92" s="26" customFormat="1" x14ac:dyDescent="0.25"/>
    <row r="93" s="26" customFormat="1" x14ac:dyDescent="0.25"/>
    <row r="94" s="26" customFormat="1" x14ac:dyDescent="0.25"/>
    <row r="95" s="26" customFormat="1" x14ac:dyDescent="0.25"/>
    <row r="96" s="26" customFormat="1" x14ac:dyDescent="0.25"/>
    <row r="97" s="26" customFormat="1" x14ac:dyDescent="0.25"/>
    <row r="98" s="26" customFormat="1" x14ac:dyDescent="0.25"/>
    <row r="99" s="26" customFormat="1" x14ac:dyDescent="0.25"/>
    <row r="100" s="26" customFormat="1" x14ac:dyDescent="0.25"/>
    <row r="101" s="26" customFormat="1" x14ac:dyDescent="0.25"/>
    <row r="102" s="26" customFormat="1" x14ac:dyDescent="0.25"/>
    <row r="103" s="26" customFormat="1" x14ac:dyDescent="0.25"/>
    <row r="104" s="26" customFormat="1" x14ac:dyDescent="0.25"/>
    <row r="105" s="26" customFormat="1" x14ac:dyDescent="0.25"/>
    <row r="106" s="26" customFormat="1" x14ac:dyDescent="0.25"/>
    <row r="107" s="26" customFormat="1" x14ac:dyDescent="0.25"/>
    <row r="108" s="26" customFormat="1" x14ac:dyDescent="0.25"/>
    <row r="109" s="26" customFormat="1" x14ac:dyDescent="0.25"/>
    <row r="110" s="26" customFormat="1" x14ac:dyDescent="0.25"/>
    <row r="111" s="26" customFormat="1" x14ac:dyDescent="0.25"/>
    <row r="112" s="26" customFormat="1" x14ac:dyDescent="0.25"/>
    <row r="113" s="26" customFormat="1" x14ac:dyDescent="0.25"/>
    <row r="114" s="26" customFormat="1" x14ac:dyDescent="0.25"/>
    <row r="115" s="26" customFormat="1" x14ac:dyDescent="0.25"/>
    <row r="116" s="26" customFormat="1" x14ac:dyDescent="0.25"/>
    <row r="117" s="26" customFormat="1" x14ac:dyDescent="0.25"/>
    <row r="118" s="26" customFormat="1" x14ac:dyDescent="0.25"/>
    <row r="119" s="26" customFormat="1" x14ac:dyDescent="0.25"/>
    <row r="120" s="26" customFormat="1" x14ac:dyDescent="0.25"/>
    <row r="121" s="26" customFormat="1" x14ac:dyDescent="0.25"/>
    <row r="122" s="26" customFormat="1" x14ac:dyDescent="0.25"/>
    <row r="123" s="26" customFormat="1" x14ac:dyDescent="0.25"/>
    <row r="124" s="26" customFormat="1" x14ac:dyDescent="0.25"/>
    <row r="125" s="26" customFormat="1" x14ac:dyDescent="0.25"/>
    <row r="126" s="26" customFormat="1" x14ac:dyDescent="0.25"/>
    <row r="127" s="26" customFormat="1" x14ac:dyDescent="0.25"/>
    <row r="128" s="26" customFormat="1" x14ac:dyDescent="0.25"/>
    <row r="129" s="26" customFormat="1" x14ac:dyDescent="0.25"/>
    <row r="130" s="26" customFormat="1" x14ac:dyDescent="0.25"/>
    <row r="131" s="26" customFormat="1" x14ac:dyDescent="0.25"/>
    <row r="132" s="26" customFormat="1" x14ac:dyDescent="0.25"/>
    <row r="133" s="26" customFormat="1" x14ac:dyDescent="0.25"/>
    <row r="134" s="26" customFormat="1" x14ac:dyDescent="0.25"/>
    <row r="135" s="26" customFormat="1" x14ac:dyDescent="0.25"/>
    <row r="136" s="26" customFormat="1" x14ac:dyDescent="0.25"/>
    <row r="137" s="26" customFormat="1" x14ac:dyDescent="0.25"/>
    <row r="138" s="26" customFormat="1" x14ac:dyDescent="0.25"/>
    <row r="139" s="26" customFormat="1" x14ac:dyDescent="0.25"/>
    <row r="140" s="26" customFormat="1" x14ac:dyDescent="0.25"/>
    <row r="141" s="26" customFormat="1" x14ac:dyDescent="0.25"/>
    <row r="142" s="26" customFormat="1" x14ac:dyDescent="0.25"/>
    <row r="143" s="26" customFormat="1" x14ac:dyDescent="0.25"/>
    <row r="144" s="26" customFormat="1" x14ac:dyDescent="0.25"/>
    <row r="145" s="26" customFormat="1" x14ac:dyDescent="0.25"/>
    <row r="146" s="26" customFormat="1" x14ac:dyDescent="0.25"/>
    <row r="147" s="26" customFormat="1" x14ac:dyDescent="0.25"/>
    <row r="148" s="26" customFormat="1" x14ac:dyDescent="0.25"/>
    <row r="149" s="26" customFormat="1" x14ac:dyDescent="0.25"/>
    <row r="150" s="26" customFormat="1" x14ac:dyDescent="0.25"/>
    <row r="151" s="26" customFormat="1" x14ac:dyDescent="0.25"/>
    <row r="152" s="26" customFormat="1" x14ac:dyDescent="0.25"/>
    <row r="153" s="26" customFormat="1" x14ac:dyDescent="0.25"/>
    <row r="154" s="26" customFormat="1" x14ac:dyDescent="0.25"/>
    <row r="155" s="26" customFormat="1" x14ac:dyDescent="0.25"/>
    <row r="156" s="26" customFormat="1" x14ac:dyDescent="0.25"/>
    <row r="157" s="26" customFormat="1" x14ac:dyDescent="0.25"/>
    <row r="158" s="26" customFormat="1" x14ac:dyDescent="0.25"/>
    <row r="159" s="26" customFormat="1" x14ac:dyDescent="0.25"/>
    <row r="160" s="26" customFormat="1" x14ac:dyDescent="0.25"/>
    <row r="161" s="26" customFormat="1" x14ac:dyDescent="0.25"/>
    <row r="162" s="26" customFormat="1" x14ac:dyDescent="0.25"/>
    <row r="163" s="26" customFormat="1" x14ac:dyDescent="0.25"/>
    <row r="164" s="26" customFormat="1" x14ac:dyDescent="0.25"/>
    <row r="165" s="26" customFormat="1" x14ac:dyDescent="0.25"/>
    <row r="166" s="26" customFormat="1" x14ac:dyDescent="0.25"/>
    <row r="167" s="26" customFormat="1" x14ac:dyDescent="0.25"/>
    <row r="168" s="26" customFormat="1" x14ac:dyDescent="0.25"/>
    <row r="169" s="26" customFormat="1" x14ac:dyDescent="0.25"/>
    <row r="170" s="26" customFormat="1" x14ac:dyDescent="0.25"/>
    <row r="171" s="26" customFormat="1" x14ac:dyDescent="0.25"/>
    <row r="172" s="26" customFormat="1" x14ac:dyDescent="0.25"/>
    <row r="173" s="26" customFormat="1" x14ac:dyDescent="0.25"/>
    <row r="174" s="26" customFormat="1" x14ac:dyDescent="0.25"/>
    <row r="175" s="26" customFormat="1" x14ac:dyDescent="0.25"/>
    <row r="176" s="26" customFormat="1" x14ac:dyDescent="0.25"/>
    <row r="177" s="26" customFormat="1" x14ac:dyDescent="0.25"/>
    <row r="178" s="26" customFormat="1" x14ac:dyDescent="0.25"/>
    <row r="179" s="26" customFormat="1" x14ac:dyDescent="0.25"/>
    <row r="180" s="26" customFormat="1" x14ac:dyDescent="0.25"/>
    <row r="181" s="26" customFormat="1" x14ac:dyDescent="0.25"/>
    <row r="182" s="26" customFormat="1" x14ac:dyDescent="0.25"/>
    <row r="183" s="26" customFormat="1" x14ac:dyDescent="0.25"/>
    <row r="184" s="26" customFormat="1" x14ac:dyDescent="0.25"/>
    <row r="185" s="26" customFormat="1" x14ac:dyDescent="0.25"/>
    <row r="186" s="26" customFormat="1" x14ac:dyDescent="0.25"/>
    <row r="187" s="26" customFormat="1" x14ac:dyDescent="0.25"/>
    <row r="188" s="26" customFormat="1" x14ac:dyDescent="0.25"/>
    <row r="189" s="26" customFormat="1" x14ac:dyDescent="0.25"/>
    <row r="190" s="26" customFormat="1" x14ac:dyDescent="0.25"/>
    <row r="191" s="26" customFormat="1" x14ac:dyDescent="0.25"/>
    <row r="192" s="26" customFormat="1" x14ac:dyDescent="0.25"/>
    <row r="193" s="26" customFormat="1" x14ac:dyDescent="0.25"/>
    <row r="194" s="26" customFormat="1" x14ac:dyDescent="0.25"/>
    <row r="195" s="26" customFormat="1" x14ac:dyDescent="0.25"/>
    <row r="196" s="26" customFormat="1" x14ac:dyDescent="0.25"/>
    <row r="197" s="26" customFormat="1" x14ac:dyDescent="0.25"/>
    <row r="198" s="26" customFormat="1" x14ac:dyDescent="0.25"/>
    <row r="199" s="26" customFormat="1" x14ac:dyDescent="0.25"/>
    <row r="200" s="26" customFormat="1" x14ac:dyDescent="0.25"/>
    <row r="201" s="26" customFormat="1" x14ac:dyDescent="0.25"/>
    <row r="202" s="26" customFormat="1" x14ac:dyDescent="0.25"/>
    <row r="203" s="26" customFormat="1" x14ac:dyDescent="0.25"/>
    <row r="204" s="26" customFormat="1" x14ac:dyDescent="0.25"/>
    <row r="205" s="26" customFormat="1" x14ac:dyDescent="0.25"/>
    <row r="206" s="26" customFormat="1" x14ac:dyDescent="0.25"/>
    <row r="207" s="26" customFormat="1" x14ac:dyDescent="0.25"/>
    <row r="208" s="26" customFormat="1" x14ac:dyDescent="0.25"/>
    <row r="209" s="26" customFormat="1" x14ac:dyDescent="0.25"/>
    <row r="210" s="26" customFormat="1" x14ac:dyDescent="0.25"/>
    <row r="211" s="26" customFormat="1" x14ac:dyDescent="0.25"/>
    <row r="212" s="26" customFormat="1" x14ac:dyDescent="0.25"/>
    <row r="213" s="26" customFormat="1" x14ac:dyDescent="0.25"/>
    <row r="214" s="26" customFormat="1" x14ac:dyDescent="0.25"/>
    <row r="215" s="26" customFormat="1" x14ac:dyDescent="0.25"/>
    <row r="216" s="26" customFormat="1" x14ac:dyDescent="0.25"/>
    <row r="217" s="26" customFormat="1" x14ac:dyDescent="0.25"/>
    <row r="218" s="26" customForma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row r="546" s="26" customFormat="1" x14ac:dyDescent="0.25"/>
    <row r="547" s="26" customFormat="1" x14ac:dyDescent="0.25"/>
    <row r="548" s="26" customFormat="1" x14ac:dyDescent="0.25"/>
    <row r="549" s="26" customFormat="1" x14ac:dyDescent="0.25"/>
    <row r="550" s="26" customFormat="1" x14ac:dyDescent="0.25"/>
    <row r="551" s="26" customFormat="1" x14ac:dyDescent="0.25"/>
    <row r="552" s="26" customFormat="1" x14ac:dyDescent="0.25"/>
    <row r="553" s="26" customFormat="1" x14ac:dyDescent="0.25"/>
    <row r="554" s="26" customFormat="1" x14ac:dyDescent="0.25"/>
    <row r="555" s="26" customFormat="1" x14ac:dyDescent="0.25"/>
    <row r="556" s="26" customFormat="1" x14ac:dyDescent="0.25"/>
    <row r="557" s="26" customFormat="1" x14ac:dyDescent="0.25"/>
    <row r="558" s="26" customFormat="1" x14ac:dyDescent="0.25"/>
    <row r="559" s="26" customFormat="1" x14ac:dyDescent="0.25"/>
    <row r="560" s="26" customFormat="1" x14ac:dyDescent="0.25"/>
    <row r="561" s="26" customFormat="1" x14ac:dyDescent="0.25"/>
    <row r="562" s="26" customFormat="1" x14ac:dyDescent="0.25"/>
    <row r="563" s="26" customFormat="1" x14ac:dyDescent="0.25"/>
    <row r="564" s="26" customFormat="1" x14ac:dyDescent="0.25"/>
    <row r="565" s="26" customFormat="1" x14ac:dyDescent="0.25"/>
    <row r="566" s="26" customFormat="1" x14ac:dyDescent="0.25"/>
    <row r="567" s="26" customFormat="1" x14ac:dyDescent="0.25"/>
    <row r="568" s="26" customFormat="1" x14ac:dyDescent="0.25"/>
    <row r="569" s="26" customFormat="1" x14ac:dyDescent="0.25"/>
    <row r="570" s="26" customFormat="1" x14ac:dyDescent="0.25"/>
    <row r="571" s="26" customFormat="1" x14ac:dyDescent="0.25"/>
    <row r="572" s="26" customFormat="1" x14ac:dyDescent="0.25"/>
    <row r="573" s="26" customFormat="1" x14ac:dyDescent="0.25"/>
    <row r="574" s="26" customFormat="1" x14ac:dyDescent="0.25"/>
    <row r="575" s="26" customFormat="1" x14ac:dyDescent="0.25"/>
    <row r="576" s="26" customFormat="1" x14ac:dyDescent="0.25"/>
    <row r="577" s="26" customFormat="1" x14ac:dyDescent="0.25"/>
    <row r="578" s="26" customFormat="1" x14ac:dyDescent="0.25"/>
    <row r="579" s="26" customFormat="1" x14ac:dyDescent="0.25"/>
    <row r="580" s="26" customFormat="1" x14ac:dyDescent="0.25"/>
    <row r="581" s="26" customFormat="1" x14ac:dyDescent="0.25"/>
    <row r="582" s="26" customFormat="1" x14ac:dyDescent="0.25"/>
    <row r="583" s="26" customFormat="1" x14ac:dyDescent="0.25"/>
    <row r="584" s="26" customFormat="1" x14ac:dyDescent="0.25"/>
    <row r="585" s="26" customFormat="1" x14ac:dyDescent="0.25"/>
    <row r="586" s="26" customFormat="1" x14ac:dyDescent="0.25"/>
    <row r="587" s="26" customFormat="1" x14ac:dyDescent="0.25"/>
    <row r="588" s="26" customFormat="1" x14ac:dyDescent="0.25"/>
    <row r="589" s="26" customFormat="1" x14ac:dyDescent="0.25"/>
    <row r="590" s="26" customFormat="1" x14ac:dyDescent="0.25"/>
    <row r="591" s="26" customFormat="1" x14ac:dyDescent="0.25"/>
    <row r="592" s="26" customFormat="1" x14ac:dyDescent="0.25"/>
    <row r="593" s="26" customFormat="1" x14ac:dyDescent="0.25"/>
    <row r="594" s="26" customFormat="1" x14ac:dyDescent="0.25"/>
    <row r="595" s="26" customFormat="1" x14ac:dyDescent="0.25"/>
    <row r="596" s="26" customFormat="1" x14ac:dyDescent="0.25"/>
    <row r="597" s="26" customFormat="1" x14ac:dyDescent="0.25"/>
    <row r="598" s="26" customFormat="1" x14ac:dyDescent="0.25"/>
    <row r="599" s="26" customFormat="1" x14ac:dyDescent="0.25"/>
    <row r="600" s="26" customFormat="1" x14ac:dyDescent="0.25"/>
    <row r="601" s="26" customFormat="1" x14ac:dyDescent="0.25"/>
    <row r="602" s="26" customFormat="1" x14ac:dyDescent="0.25"/>
    <row r="603" s="26" customFormat="1" x14ac:dyDescent="0.25"/>
    <row r="604" s="26" customFormat="1" x14ac:dyDescent="0.25"/>
    <row r="605" s="26" customFormat="1" x14ac:dyDescent="0.25"/>
    <row r="606" s="26" customFormat="1" x14ac:dyDescent="0.25"/>
    <row r="607" s="26" customFormat="1" x14ac:dyDescent="0.25"/>
    <row r="608" s="26" customFormat="1" x14ac:dyDescent="0.25"/>
    <row r="609" s="26" customFormat="1" x14ac:dyDescent="0.25"/>
    <row r="610" s="26" customFormat="1" x14ac:dyDescent="0.25"/>
    <row r="611" s="26" customFormat="1" x14ac:dyDescent="0.25"/>
    <row r="612" s="26" customFormat="1" x14ac:dyDescent="0.25"/>
    <row r="613" s="26" customFormat="1" x14ac:dyDescent="0.25"/>
    <row r="614" s="26" customFormat="1" x14ac:dyDescent="0.25"/>
    <row r="615" s="26" customFormat="1" x14ac:dyDescent="0.25"/>
    <row r="616" s="26" customFormat="1" x14ac:dyDescent="0.25"/>
    <row r="617" s="26" customFormat="1" x14ac:dyDescent="0.25"/>
    <row r="618" s="26" customFormat="1" x14ac:dyDescent="0.25"/>
    <row r="619" s="26" customFormat="1" x14ac:dyDescent="0.25"/>
    <row r="620" s="26" customFormat="1" x14ac:dyDescent="0.25"/>
    <row r="621" s="26" customFormat="1" x14ac:dyDescent="0.25"/>
    <row r="622" s="26" customFormat="1" x14ac:dyDescent="0.25"/>
    <row r="623" s="26" customFormat="1" x14ac:dyDescent="0.25"/>
    <row r="624" s="26" customFormat="1" x14ac:dyDescent="0.25"/>
    <row r="625" s="26" customFormat="1" x14ac:dyDescent="0.25"/>
    <row r="626" s="26" customFormat="1" x14ac:dyDescent="0.25"/>
    <row r="627" s="26" customFormat="1" x14ac:dyDescent="0.25"/>
    <row r="628" s="26" customFormat="1" x14ac:dyDescent="0.25"/>
    <row r="629" s="26" customFormat="1" x14ac:dyDescent="0.25"/>
    <row r="630" s="26" customFormat="1" x14ac:dyDescent="0.25"/>
    <row r="631" s="26" customFormat="1" x14ac:dyDescent="0.25"/>
    <row r="632" s="26" customFormat="1" x14ac:dyDescent="0.25"/>
    <row r="633" s="26" customFormat="1" x14ac:dyDescent="0.25"/>
    <row r="634" s="26" customFormat="1" x14ac:dyDescent="0.25"/>
    <row r="635" s="26" customFormat="1" x14ac:dyDescent="0.25"/>
    <row r="636" s="26" customFormat="1" x14ac:dyDescent="0.25"/>
    <row r="637" s="26" customFormat="1" x14ac:dyDescent="0.25"/>
    <row r="638" s="26" customFormat="1" x14ac:dyDescent="0.25"/>
    <row r="639" s="26" customFormat="1" x14ac:dyDescent="0.25"/>
    <row r="640" s="26" customFormat="1" x14ac:dyDescent="0.25"/>
    <row r="641" s="26" customFormat="1" x14ac:dyDescent="0.25"/>
    <row r="642" s="26" customFormat="1" x14ac:dyDescent="0.25"/>
    <row r="643" s="26" customFormat="1" x14ac:dyDescent="0.25"/>
    <row r="644" s="26" customFormat="1" x14ac:dyDescent="0.25"/>
    <row r="645" s="26" customFormat="1" x14ac:dyDescent="0.25"/>
    <row r="646" s="26" customFormat="1" x14ac:dyDescent="0.25"/>
    <row r="647" s="26" customFormat="1" x14ac:dyDescent="0.25"/>
    <row r="648" s="26" customFormat="1" x14ac:dyDescent="0.25"/>
    <row r="649" s="26" customFormat="1" x14ac:dyDescent="0.25"/>
    <row r="650" s="26" customFormat="1" x14ac:dyDescent="0.25"/>
    <row r="651" s="26" customFormat="1" x14ac:dyDescent="0.25"/>
    <row r="652" s="26" customFormat="1" x14ac:dyDescent="0.25"/>
    <row r="653" s="26" customFormat="1" x14ac:dyDescent="0.25"/>
    <row r="654" s="26" customFormat="1" x14ac:dyDescent="0.25"/>
    <row r="655" s="26" customFormat="1" x14ac:dyDescent="0.25"/>
    <row r="656" s="26" customFormat="1" x14ac:dyDescent="0.25"/>
    <row r="657" s="26" customFormat="1" x14ac:dyDescent="0.25"/>
    <row r="658" s="26" customFormat="1" x14ac:dyDescent="0.25"/>
    <row r="659" s="26" customFormat="1" x14ac:dyDescent="0.25"/>
    <row r="660" s="26" customFormat="1" x14ac:dyDescent="0.25"/>
    <row r="661" s="26" customFormat="1" x14ac:dyDescent="0.25"/>
    <row r="662" s="26" customFormat="1" x14ac:dyDescent="0.25"/>
    <row r="663" s="26" customFormat="1" x14ac:dyDescent="0.25"/>
    <row r="664" s="26" customFormat="1" x14ac:dyDescent="0.25"/>
    <row r="665" s="26" customFormat="1" x14ac:dyDescent="0.25"/>
    <row r="666" s="26" customFormat="1" x14ac:dyDescent="0.25"/>
    <row r="667" s="26" customFormat="1" x14ac:dyDescent="0.25"/>
    <row r="668" s="26" customFormat="1" x14ac:dyDescent="0.25"/>
    <row r="669" s="26" customFormat="1" x14ac:dyDescent="0.25"/>
    <row r="670" s="26" customFormat="1" x14ac:dyDescent="0.25"/>
    <row r="671" s="26" customFormat="1" x14ac:dyDescent="0.25"/>
    <row r="672" s="26" customFormat="1" x14ac:dyDescent="0.25"/>
    <row r="673" s="26" customFormat="1" x14ac:dyDescent="0.25"/>
    <row r="674" s="26" customFormat="1" x14ac:dyDescent="0.25"/>
    <row r="675" s="26" customFormat="1" x14ac:dyDescent="0.25"/>
    <row r="676" s="26" customFormat="1" x14ac:dyDescent="0.25"/>
    <row r="677" s="26" customFormat="1" x14ac:dyDescent="0.25"/>
    <row r="678" s="26" customFormat="1" x14ac:dyDescent="0.25"/>
    <row r="679" s="26" customFormat="1" x14ac:dyDescent="0.25"/>
    <row r="680" s="26" customFormat="1" x14ac:dyDescent="0.25"/>
    <row r="681" s="26" customFormat="1" x14ac:dyDescent="0.25"/>
    <row r="682" s="26" customFormat="1" x14ac:dyDescent="0.25"/>
    <row r="683" s="26" customFormat="1" x14ac:dyDescent="0.25"/>
    <row r="684" s="26" customFormat="1" x14ac:dyDescent="0.25"/>
    <row r="685" s="26" customFormat="1" x14ac:dyDescent="0.25"/>
    <row r="686" s="26" customFormat="1" x14ac:dyDescent="0.25"/>
    <row r="687" s="26" customFormat="1" x14ac:dyDescent="0.25"/>
    <row r="688" s="26" customFormat="1" x14ac:dyDescent="0.25"/>
    <row r="689" s="26" customFormat="1" x14ac:dyDescent="0.25"/>
    <row r="690" s="26" customFormat="1" x14ac:dyDescent="0.25"/>
    <row r="691" s="26" customFormat="1" x14ac:dyDescent="0.25"/>
    <row r="692" s="26" customFormat="1" x14ac:dyDescent="0.25"/>
    <row r="693" s="26" customFormat="1" x14ac:dyDescent="0.25"/>
    <row r="694" s="26" customFormat="1" x14ac:dyDescent="0.25"/>
    <row r="695" s="26" customFormat="1" x14ac:dyDescent="0.25"/>
    <row r="696" s="26" customFormat="1" x14ac:dyDescent="0.25"/>
    <row r="697" s="26" customFormat="1" x14ac:dyDescent="0.25"/>
    <row r="698" s="26" customFormat="1" x14ac:dyDescent="0.25"/>
    <row r="699" s="26" customFormat="1" x14ac:dyDescent="0.25"/>
    <row r="700" s="26" customFormat="1" x14ac:dyDescent="0.25"/>
    <row r="701" s="26" customFormat="1" x14ac:dyDescent="0.25"/>
    <row r="702" s="26" customFormat="1" x14ac:dyDescent="0.25"/>
    <row r="703" s="26" customFormat="1" x14ac:dyDescent="0.25"/>
    <row r="704" s="26" customFormat="1" x14ac:dyDescent="0.25"/>
    <row r="705" s="26" customFormat="1" x14ac:dyDescent="0.25"/>
    <row r="706" s="26" customFormat="1" x14ac:dyDescent="0.25"/>
    <row r="707" s="26" customFormat="1" x14ac:dyDescent="0.25"/>
    <row r="708" s="26" customFormat="1" x14ac:dyDescent="0.25"/>
    <row r="709" s="26" customFormat="1" x14ac:dyDescent="0.25"/>
    <row r="710" s="26" customFormat="1" x14ac:dyDescent="0.25"/>
    <row r="711" s="26" customFormat="1" x14ac:dyDescent="0.25"/>
    <row r="712" s="26" customFormat="1" x14ac:dyDescent="0.25"/>
    <row r="713" s="26" customFormat="1" x14ac:dyDescent="0.25"/>
    <row r="714" s="26" customFormat="1" x14ac:dyDescent="0.25"/>
    <row r="715" s="26" customFormat="1" x14ac:dyDescent="0.25"/>
    <row r="716" s="26" customFormat="1" x14ac:dyDescent="0.25"/>
    <row r="717" s="26" customFormat="1" x14ac:dyDescent="0.25"/>
    <row r="718" s="26" customFormat="1" x14ac:dyDescent="0.25"/>
    <row r="719" s="26" customFormat="1" x14ac:dyDescent="0.25"/>
    <row r="720" s="26" customFormat="1" x14ac:dyDescent="0.25"/>
    <row r="721" s="26" customFormat="1" x14ac:dyDescent="0.25"/>
    <row r="722" s="26" customFormat="1" x14ac:dyDescent="0.25"/>
    <row r="723" s="26" customFormat="1" x14ac:dyDescent="0.25"/>
    <row r="724" s="26" customFormat="1" x14ac:dyDescent="0.25"/>
    <row r="725" s="26" customFormat="1" x14ac:dyDescent="0.25"/>
    <row r="726" s="26" customFormat="1" x14ac:dyDescent="0.25"/>
    <row r="727" s="26" customFormat="1" x14ac:dyDescent="0.25"/>
    <row r="728" s="26" customFormat="1" x14ac:dyDescent="0.25"/>
    <row r="729" s="26" customFormat="1" x14ac:dyDescent="0.25"/>
    <row r="730" s="26" customFormat="1" x14ac:dyDescent="0.25"/>
    <row r="731" s="26" customFormat="1" x14ac:dyDescent="0.25"/>
    <row r="732" s="26" customFormat="1" x14ac:dyDescent="0.25"/>
    <row r="733" s="26" customFormat="1" x14ac:dyDescent="0.25"/>
    <row r="734" s="26" customFormat="1" x14ac:dyDescent="0.25"/>
    <row r="735" s="26" customFormat="1" x14ac:dyDescent="0.25"/>
    <row r="736" s="26" customFormat="1" x14ac:dyDescent="0.25"/>
    <row r="737" s="26" customFormat="1" x14ac:dyDescent="0.25"/>
    <row r="738" s="26" customFormat="1" x14ac:dyDescent="0.25"/>
    <row r="739" s="26" customFormat="1" x14ac:dyDescent="0.25"/>
    <row r="740" s="26" customFormat="1" x14ac:dyDescent="0.25"/>
    <row r="741" s="26" customFormat="1" x14ac:dyDescent="0.25"/>
    <row r="742" s="26" customFormat="1" x14ac:dyDescent="0.25"/>
    <row r="743" s="26" customFormat="1" x14ac:dyDescent="0.25"/>
    <row r="744" s="26" customFormat="1" x14ac:dyDescent="0.25"/>
    <row r="745" s="26" customFormat="1" x14ac:dyDescent="0.25"/>
    <row r="746" s="26" customFormat="1" x14ac:dyDescent="0.25"/>
    <row r="747" s="26" customFormat="1" x14ac:dyDescent="0.25"/>
    <row r="748" s="26" customFormat="1" x14ac:dyDescent="0.25"/>
    <row r="749" s="26"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sheetData>
  <mergeCells count="11">
    <mergeCell ref="C51:D51"/>
    <mergeCell ref="C53:H57"/>
    <mergeCell ref="C7:E7"/>
    <mergeCell ref="C16:E16"/>
    <mergeCell ref="C46:E46"/>
    <mergeCell ref="K31:O31"/>
    <mergeCell ref="K2:O2"/>
    <mergeCell ref="K3:O4"/>
    <mergeCell ref="K8:O8"/>
    <mergeCell ref="K10:O25"/>
    <mergeCell ref="K27:O28"/>
  </mergeCells>
  <hyperlinks>
    <hyperlink ref="K27:O28" r:id="rId1" display="Read more here: https://www.sage.com/en-us/blog/income-statement-template/" xr:uid="{6572DDDD-36E9-0941-9FCB-FBAB6A4B592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2C9B-9EBA-FB4C-A333-050B44D0824D}">
  <sheetPr codeName="Sheet3"/>
  <dimension ref="A1:CT992"/>
  <sheetViews>
    <sheetView showGridLines="0" zoomScaleNormal="100" workbookViewId="0">
      <pane ySplit="6" topLeftCell="A32" activePane="bottomLeft" state="frozen"/>
      <selection pane="bottomLeft" activeCell="A36" sqref="A36"/>
    </sheetView>
  </sheetViews>
  <sheetFormatPr defaultColWidth="11" defaultRowHeight="15.75" x14ac:dyDescent="0.25"/>
  <cols>
    <col min="1" max="1" width="20.875" style="26" customWidth="1"/>
    <col min="2" max="2" width="5.875" customWidth="1"/>
    <col min="3" max="3" width="2.875" customWidth="1"/>
    <col min="4" max="4" width="41.5" bestFit="1" customWidth="1"/>
    <col min="5" max="5" width="3.875" customWidth="1"/>
    <col min="6" max="8" width="20.875" customWidth="1"/>
    <col min="9" max="9" width="5.875" customWidth="1"/>
    <col min="10" max="98" width="11" style="26"/>
  </cols>
  <sheetData>
    <row r="1" spans="1:98" s="26" customFormat="1" ht="39.950000000000003" customHeight="1" x14ac:dyDescent="0.25"/>
    <row r="2" spans="1:98" ht="24.95" customHeight="1" x14ac:dyDescent="0.25"/>
    <row r="3" spans="1:98" ht="36.950000000000003" customHeight="1" x14ac:dyDescent="0.55000000000000004">
      <c r="D3" s="36" t="s">
        <v>25</v>
      </c>
      <c r="H3" s="13" t="s">
        <v>53</v>
      </c>
    </row>
    <row r="4" spans="1:98" ht="24" x14ac:dyDescent="0.4">
      <c r="D4" s="35" t="s">
        <v>52</v>
      </c>
    </row>
    <row r="6" spans="1:98" s="2" customFormat="1" ht="24.95" customHeight="1" x14ac:dyDescent="0.25">
      <c r="A6" s="27"/>
      <c r="F6" s="6">
        <v>2023</v>
      </c>
      <c r="G6" s="6">
        <v>2022</v>
      </c>
      <c r="H6" s="6">
        <v>2021</v>
      </c>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row>
    <row r="7" spans="1:98" s="2" customFormat="1" ht="20.100000000000001" customHeight="1" thickBot="1" x14ac:dyDescent="0.3">
      <c r="A7" s="27"/>
      <c r="C7" s="58" t="s">
        <v>0</v>
      </c>
      <c r="D7" s="58"/>
      <c r="E7" s="58"/>
      <c r="F7" s="3"/>
      <c r="G7" s="3"/>
      <c r="H7" s="3"/>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row>
    <row r="8" spans="1:98" s="2" customFormat="1" ht="20.100000000000001" customHeight="1" x14ac:dyDescent="0.25">
      <c r="A8" s="27"/>
      <c r="D8" s="31" t="s">
        <v>38</v>
      </c>
      <c r="F8" s="7">
        <v>1000000</v>
      </c>
      <c r="G8" s="7">
        <v>800000</v>
      </c>
      <c r="H8" s="7">
        <v>700000</v>
      </c>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row>
    <row r="9" spans="1:98" s="2" customFormat="1" ht="20.100000000000001" customHeight="1" x14ac:dyDescent="0.25">
      <c r="A9" s="27"/>
      <c r="D9" s="32" t="s">
        <v>39</v>
      </c>
      <c r="F9" s="7">
        <v>-11000</v>
      </c>
      <c r="G9" s="7">
        <v>-5600</v>
      </c>
      <c r="H9" s="7">
        <v>-4200</v>
      </c>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row>
    <row r="10" spans="1:98" s="2" customFormat="1" ht="20.100000000000001" customHeight="1" x14ac:dyDescent="0.25">
      <c r="A10" s="27"/>
      <c r="D10" s="31" t="s">
        <v>40</v>
      </c>
      <c r="F10" s="7">
        <v>0</v>
      </c>
      <c r="G10" s="7">
        <v>0</v>
      </c>
      <c r="H10" s="7">
        <v>0</v>
      </c>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row>
    <row r="11" spans="1:98" s="2" customFormat="1" ht="20.100000000000001" customHeight="1" x14ac:dyDescent="0.25">
      <c r="A11" s="27"/>
      <c r="D11" s="32" t="s">
        <v>41</v>
      </c>
      <c r="F11" s="8">
        <v>1200</v>
      </c>
      <c r="G11" s="8">
        <v>0</v>
      </c>
      <c r="H11" s="8">
        <v>0</v>
      </c>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row>
    <row r="12" spans="1:98" s="2" customFormat="1" ht="20.100000000000001" customHeight="1" x14ac:dyDescent="0.25">
      <c r="A12" s="27"/>
      <c r="D12" s="32" t="s">
        <v>42</v>
      </c>
      <c r="F12" s="8">
        <v>0</v>
      </c>
      <c r="G12" s="8">
        <v>0</v>
      </c>
      <c r="H12" s="8">
        <v>0</v>
      </c>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row>
    <row r="13" spans="1:98" s="2" customFormat="1" ht="20.100000000000001" customHeight="1" x14ac:dyDescent="0.25">
      <c r="A13" s="27"/>
      <c r="F13" s="9"/>
      <c r="G13" s="9"/>
      <c r="H13" s="9"/>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row>
    <row r="14" spans="1:98" s="2" customFormat="1" ht="24.95" customHeight="1" x14ac:dyDescent="0.25">
      <c r="A14" s="27"/>
      <c r="D14" s="40" t="s">
        <v>43</v>
      </c>
      <c r="E14" s="4"/>
      <c r="F14" s="19">
        <f>SUM(F8:F13)</f>
        <v>990200</v>
      </c>
      <c r="G14" s="19">
        <f t="shared" ref="G14:H14" si="0">SUM(G8:G13)</f>
        <v>794400</v>
      </c>
      <c r="H14" s="19">
        <f t="shared" si="0"/>
        <v>695800</v>
      </c>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row>
    <row r="15" spans="1:98" s="2" customFormat="1" ht="20.100000000000001" customHeight="1" x14ac:dyDescent="0.25">
      <c r="A15" s="27"/>
      <c r="F15" s="9"/>
      <c r="G15" s="9"/>
      <c r="H15" s="9"/>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row>
    <row r="16" spans="1:98" s="2" customFormat="1" ht="24.95" customHeight="1" thickBot="1" x14ac:dyDescent="0.3">
      <c r="A16" s="27"/>
      <c r="C16" s="58" t="s">
        <v>6</v>
      </c>
      <c r="D16" s="58"/>
      <c r="E16" s="58"/>
      <c r="F16" s="10"/>
      <c r="G16" s="10"/>
      <c r="H16" s="10"/>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row>
    <row r="17" spans="1:98" s="2" customFormat="1" ht="20.100000000000001" customHeight="1" x14ac:dyDescent="0.25">
      <c r="A17" s="27"/>
      <c r="D17" s="31" t="s">
        <v>17</v>
      </c>
      <c r="F17" s="7">
        <v>-25000</v>
      </c>
      <c r="G17" s="7">
        <v>-18500</v>
      </c>
      <c r="H17" s="7">
        <v>-15200</v>
      </c>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row>
    <row r="18" spans="1:98" s="2" customFormat="1" ht="20.100000000000001" customHeight="1" x14ac:dyDescent="0.25">
      <c r="A18" s="27"/>
      <c r="D18" s="32" t="s">
        <v>27</v>
      </c>
      <c r="F18" s="8">
        <v>-15000</v>
      </c>
      <c r="G18" s="8">
        <v>0</v>
      </c>
      <c r="H18" s="8">
        <v>0</v>
      </c>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row>
    <row r="19" spans="1:98" s="2" customFormat="1" ht="20.100000000000001" customHeight="1" x14ac:dyDescent="0.25">
      <c r="A19" s="27"/>
      <c r="D19" s="32" t="s">
        <v>18</v>
      </c>
      <c r="F19" s="8">
        <v>-1200</v>
      </c>
      <c r="G19" s="8">
        <v>-1000</v>
      </c>
      <c r="H19" s="8">
        <v>-700</v>
      </c>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row>
    <row r="20" spans="1:98" s="2" customFormat="1" ht="20.100000000000001" customHeight="1" x14ac:dyDescent="0.25">
      <c r="A20" s="27"/>
      <c r="D20" s="32" t="s">
        <v>19</v>
      </c>
      <c r="F20" s="8">
        <v>-21000</v>
      </c>
      <c r="G20" s="8">
        <v>-15000</v>
      </c>
      <c r="H20" s="8">
        <v>-35000</v>
      </c>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row>
    <row r="21" spans="1:98" s="2" customFormat="1" ht="20.100000000000001" customHeight="1" x14ac:dyDescent="0.25">
      <c r="A21" s="27"/>
      <c r="D21" s="32" t="s">
        <v>7</v>
      </c>
      <c r="F21" s="8">
        <v>-10000</v>
      </c>
      <c r="G21" s="8">
        <v>-7500</v>
      </c>
      <c r="H21" s="8">
        <v>-6200</v>
      </c>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row>
    <row r="22" spans="1:98" s="2" customFormat="1" ht="20.100000000000001" customHeight="1" x14ac:dyDescent="0.25">
      <c r="A22" s="27"/>
      <c r="D22" s="32" t="s">
        <v>28</v>
      </c>
      <c r="F22" s="8">
        <v>-8000</v>
      </c>
      <c r="G22" s="8">
        <v>-3000</v>
      </c>
      <c r="H22" s="8">
        <v>-21000</v>
      </c>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row>
    <row r="23" spans="1:98" s="2" customFormat="1" ht="20.100000000000001" customHeight="1" x14ac:dyDescent="0.25">
      <c r="A23" s="27"/>
      <c r="D23" s="32" t="s">
        <v>8</v>
      </c>
      <c r="F23" s="8">
        <v>-15000</v>
      </c>
      <c r="G23" s="8">
        <v>-12000</v>
      </c>
      <c r="H23" s="8">
        <v>-8500</v>
      </c>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row>
    <row r="24" spans="1:98" s="2" customFormat="1" ht="20.100000000000001" customHeight="1" x14ac:dyDescent="0.25">
      <c r="A24" s="27"/>
      <c r="D24" s="32" t="s">
        <v>9</v>
      </c>
      <c r="F24" s="8">
        <v>0</v>
      </c>
      <c r="G24" s="8">
        <v>-2100</v>
      </c>
      <c r="H24" s="8">
        <v>-6500</v>
      </c>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row>
    <row r="25" spans="1:98" s="2" customFormat="1" ht="20.100000000000001" customHeight="1" x14ac:dyDescent="0.25">
      <c r="A25" s="27"/>
      <c r="D25" s="32" t="s">
        <v>13</v>
      </c>
      <c r="F25" s="8">
        <v>-50000</v>
      </c>
      <c r="G25" s="8">
        <v>-42000</v>
      </c>
      <c r="H25" s="8">
        <v>-38000</v>
      </c>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row>
    <row r="26" spans="1:98" s="2" customFormat="1" ht="20.100000000000001" customHeight="1" x14ac:dyDescent="0.25">
      <c r="A26" s="27"/>
      <c r="D26" s="32" t="s">
        <v>10</v>
      </c>
      <c r="F26" s="8">
        <v>-12500</v>
      </c>
      <c r="G26" s="8">
        <v>-9500</v>
      </c>
      <c r="H26" s="8">
        <v>-8500</v>
      </c>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row>
    <row r="27" spans="1:98" s="2" customFormat="1" ht="20.100000000000001" customHeight="1" x14ac:dyDescent="0.25">
      <c r="A27" s="27"/>
      <c r="D27" s="32" t="s">
        <v>11</v>
      </c>
      <c r="F27" s="8">
        <v>-8200</v>
      </c>
      <c r="G27" s="8">
        <v>-7000</v>
      </c>
      <c r="H27" s="8">
        <v>-6200</v>
      </c>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row>
    <row r="28" spans="1:98" s="2" customFormat="1" ht="20.100000000000001" customHeight="1" x14ac:dyDescent="0.25">
      <c r="A28" s="27"/>
      <c r="D28" s="32" t="s">
        <v>16</v>
      </c>
      <c r="F28" s="8">
        <v>-500</v>
      </c>
      <c r="G28" s="8">
        <v>-350</v>
      </c>
      <c r="H28" s="8">
        <v>-300</v>
      </c>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row>
    <row r="29" spans="1:98" s="2" customFormat="1" ht="20.100000000000001" customHeight="1" x14ac:dyDescent="0.25">
      <c r="A29" s="27"/>
      <c r="D29" s="32" t="s">
        <v>20</v>
      </c>
      <c r="F29" s="8">
        <v>-5400</v>
      </c>
      <c r="G29" s="8">
        <v>-4200</v>
      </c>
      <c r="H29" s="8">
        <v>-4000</v>
      </c>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row>
    <row r="30" spans="1:98" s="2" customFormat="1" ht="20.100000000000001" customHeight="1" x14ac:dyDescent="0.25">
      <c r="A30" s="27"/>
      <c r="D30" s="32" t="s">
        <v>21</v>
      </c>
      <c r="F30" s="8">
        <v>-5200</v>
      </c>
      <c r="G30" s="8">
        <v>-3800</v>
      </c>
      <c r="H30" s="8">
        <v>-3300</v>
      </c>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row>
    <row r="31" spans="1:98" s="2" customFormat="1" ht="20.100000000000001" customHeight="1" x14ac:dyDescent="0.25">
      <c r="A31" s="27"/>
      <c r="D31" s="32" t="s">
        <v>26</v>
      </c>
      <c r="F31" s="8">
        <v>-18000</v>
      </c>
      <c r="G31" s="8">
        <v>-15000</v>
      </c>
      <c r="H31" s="8">
        <v>-14000</v>
      </c>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row>
    <row r="32" spans="1:98" s="2" customFormat="1" ht="20.100000000000001" customHeight="1" x14ac:dyDescent="0.25">
      <c r="A32" s="27"/>
      <c r="D32" s="32" t="s">
        <v>12</v>
      </c>
      <c r="F32" s="8">
        <v>-25000</v>
      </c>
      <c r="G32" s="8">
        <v>-25000</v>
      </c>
      <c r="H32" s="8">
        <v>-25000</v>
      </c>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row>
    <row r="33" spans="1:98" s="2" customFormat="1" ht="20.100000000000001" customHeight="1" x14ac:dyDescent="0.25">
      <c r="A33" s="27"/>
      <c r="D33" s="32" t="s">
        <v>29</v>
      </c>
      <c r="F33" s="8">
        <v>-24000</v>
      </c>
      <c r="G33" s="8">
        <v>-18000</v>
      </c>
      <c r="H33" s="8">
        <v>-6000</v>
      </c>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row>
    <row r="34" spans="1:98" s="2" customFormat="1" ht="20.100000000000001" customHeight="1" x14ac:dyDescent="0.25">
      <c r="A34" s="27"/>
      <c r="D34" s="32" t="s">
        <v>30</v>
      </c>
      <c r="F34" s="8">
        <v>-500000</v>
      </c>
      <c r="G34" s="8">
        <v>-450000</v>
      </c>
      <c r="H34" s="8">
        <v>-420000</v>
      </c>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row>
    <row r="35" spans="1:98" s="2" customFormat="1" ht="20.100000000000001" customHeight="1" x14ac:dyDescent="0.25">
      <c r="A35" s="27"/>
      <c r="D35" s="32" t="s">
        <v>14</v>
      </c>
      <c r="F35" s="8">
        <v>-10000</v>
      </c>
      <c r="G35" s="8">
        <v>-10000</v>
      </c>
      <c r="H35" s="8">
        <v>-8000</v>
      </c>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row>
    <row r="36" spans="1:98" s="2" customFormat="1" ht="20.100000000000001" customHeight="1" x14ac:dyDescent="0.25">
      <c r="A36" s="27"/>
      <c r="D36" s="32" t="s">
        <v>15</v>
      </c>
      <c r="F36" s="8">
        <v>-6500</v>
      </c>
      <c r="G36" s="8">
        <v>-5600</v>
      </c>
      <c r="H36" s="8">
        <v>-4900</v>
      </c>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row>
    <row r="37" spans="1:98" s="2" customFormat="1" ht="20.100000000000001" customHeight="1" x14ac:dyDescent="0.25">
      <c r="A37" s="27"/>
      <c r="D37" s="32" t="s">
        <v>31</v>
      </c>
      <c r="F37" s="8">
        <v>-50000</v>
      </c>
      <c r="G37" s="8">
        <v>-42000</v>
      </c>
      <c r="H37" s="8">
        <v>-38000</v>
      </c>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row>
    <row r="38" spans="1:98" s="2" customFormat="1" ht="20.100000000000001" customHeight="1" x14ac:dyDescent="0.25">
      <c r="A38" s="27"/>
      <c r="F38" s="9"/>
      <c r="G38" s="9"/>
      <c r="H38" s="9"/>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row>
    <row r="39" spans="1:98" s="2" customFormat="1" ht="24.95" customHeight="1" x14ac:dyDescent="0.25">
      <c r="A39" s="27"/>
      <c r="D39" s="40" t="s">
        <v>32</v>
      </c>
      <c r="E39" s="4"/>
      <c r="F39" s="33">
        <f>SUM(F17:F38)</f>
        <v>-810500</v>
      </c>
      <c r="G39" s="33">
        <f>SUM(G17:G38)</f>
        <v>-691550</v>
      </c>
      <c r="H39" s="33">
        <f>SUM(H17:H38)</f>
        <v>-669300</v>
      </c>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row>
    <row r="40" spans="1:98" s="2" customFormat="1" ht="20.100000000000001" customHeight="1" x14ac:dyDescent="0.25">
      <c r="A40" s="27"/>
      <c r="F40" s="9"/>
      <c r="G40" s="9"/>
      <c r="H40" s="9"/>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row>
    <row r="41" spans="1:98" s="2" customFormat="1" ht="24.95" customHeight="1" x14ac:dyDescent="0.25">
      <c r="A41" s="27"/>
      <c r="D41" s="40" t="s">
        <v>33</v>
      </c>
      <c r="E41" s="4"/>
      <c r="F41" s="33">
        <f>+F14+F39</f>
        <v>179700</v>
      </c>
      <c r="G41" s="33">
        <f>+G14+G39</f>
        <v>102850</v>
      </c>
      <c r="H41" s="33">
        <f>+H14+H39</f>
        <v>26500</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row>
    <row r="42" spans="1:98" s="2" customFormat="1" ht="20.100000000000001" customHeight="1" x14ac:dyDescent="0.25">
      <c r="A42" s="27"/>
      <c r="D42" s="32" t="s">
        <v>34</v>
      </c>
      <c r="F42" s="8">
        <v>-45000</v>
      </c>
      <c r="G42" s="8">
        <v>-26000</v>
      </c>
      <c r="H42" s="8">
        <v>-7000</v>
      </c>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row>
    <row r="43" spans="1:98" s="2" customFormat="1" ht="20.100000000000001" customHeight="1" x14ac:dyDescent="0.25">
      <c r="A43" s="27"/>
      <c r="F43" s="9"/>
      <c r="G43" s="9"/>
      <c r="H43" s="9"/>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row>
    <row r="44" spans="1:98" s="5" customFormat="1" ht="24.95" customHeight="1" x14ac:dyDescent="0.25">
      <c r="A44" s="28"/>
      <c r="D44" s="40" t="s">
        <v>24</v>
      </c>
      <c r="E44" s="4"/>
      <c r="F44" s="33">
        <f>+F41+F42</f>
        <v>134700</v>
      </c>
      <c r="G44" s="33">
        <f t="shared" ref="G44:H44" si="1">+G41+G42</f>
        <v>76850</v>
      </c>
      <c r="H44" s="33">
        <f t="shared" si="1"/>
        <v>19500</v>
      </c>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row>
    <row r="45" spans="1:98" s="5" customFormat="1" ht="20.100000000000001" customHeight="1" x14ac:dyDescent="0.25">
      <c r="A45" s="28"/>
      <c r="F45" s="11"/>
      <c r="G45" s="11"/>
      <c r="H45" s="11"/>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row>
    <row r="46" spans="1:98" s="5" customFormat="1" ht="24.95" customHeight="1" thickBot="1" x14ac:dyDescent="0.3">
      <c r="A46" s="28"/>
      <c r="C46" s="58" t="s">
        <v>22</v>
      </c>
      <c r="D46" s="58"/>
      <c r="E46" s="58"/>
      <c r="F46" s="12"/>
      <c r="G46" s="12"/>
      <c r="H46" s="12"/>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row>
    <row r="47" spans="1:98" s="5" customFormat="1" ht="20.100000000000001" customHeight="1" x14ac:dyDescent="0.25">
      <c r="A47" s="28"/>
      <c r="D47" s="31" t="s">
        <v>35</v>
      </c>
      <c r="F47" s="7">
        <v>19000</v>
      </c>
      <c r="G47" s="7">
        <v>0</v>
      </c>
      <c r="H47" s="7">
        <v>0</v>
      </c>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row>
    <row r="48" spans="1:98" s="5" customFormat="1" ht="20.100000000000001" customHeight="1" x14ac:dyDescent="0.25">
      <c r="A48" s="28"/>
      <c r="D48" s="32" t="s">
        <v>36</v>
      </c>
      <c r="F48" s="8">
        <v>0</v>
      </c>
      <c r="G48" s="8">
        <v>0</v>
      </c>
      <c r="H48" s="8">
        <v>0</v>
      </c>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row>
    <row r="49" spans="1:98" s="5" customFormat="1" ht="20.100000000000001" customHeight="1" x14ac:dyDescent="0.25">
      <c r="A49" s="28"/>
      <c r="D49" s="32" t="s">
        <v>37</v>
      </c>
      <c r="F49" s="8">
        <v>-18000</v>
      </c>
      <c r="G49" s="8">
        <v>0</v>
      </c>
      <c r="H49" s="8">
        <v>0</v>
      </c>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row>
    <row r="50" spans="1:98" s="5" customFormat="1" ht="20.100000000000001" customHeight="1" x14ac:dyDescent="0.25">
      <c r="A50" s="28"/>
      <c r="F50" s="11"/>
      <c r="G50" s="11"/>
      <c r="H50" s="11"/>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row>
    <row r="51" spans="1:98" s="5" customFormat="1" ht="24.95" customHeight="1" thickBot="1" x14ac:dyDescent="0.3">
      <c r="A51" s="28"/>
      <c r="C51" s="56" t="s">
        <v>44</v>
      </c>
      <c r="D51" s="56"/>
      <c r="E51" s="34"/>
      <c r="F51" s="37">
        <f>+F44+SUM(F47:F50)</f>
        <v>135700</v>
      </c>
      <c r="G51" s="37">
        <f t="shared" ref="G51:H51" si="2">+G44+SUM(G47:G50)</f>
        <v>76850</v>
      </c>
      <c r="H51" s="37">
        <f t="shared" si="2"/>
        <v>19500</v>
      </c>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row>
    <row r="52" spans="1:98" s="1" customFormat="1" x14ac:dyDescent="0.25">
      <c r="A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row>
    <row r="53" spans="1:98" s="1" customFormat="1" x14ac:dyDescent="0.25">
      <c r="A53" s="29"/>
      <c r="C53" s="57"/>
      <c r="D53" s="57"/>
      <c r="E53" s="57"/>
      <c r="F53" s="57"/>
      <c r="G53" s="57"/>
      <c r="H53" s="57"/>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row>
    <row r="54" spans="1:98" s="1" customFormat="1" x14ac:dyDescent="0.25">
      <c r="A54" s="29"/>
      <c r="C54" s="57"/>
      <c r="D54" s="57"/>
      <c r="E54" s="57"/>
      <c r="F54" s="57"/>
      <c r="G54" s="57"/>
      <c r="H54" s="57"/>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row>
    <row r="55" spans="1:98" s="1" customFormat="1" x14ac:dyDescent="0.25">
      <c r="A55" s="29"/>
      <c r="C55" s="57"/>
      <c r="D55" s="57"/>
      <c r="E55" s="57"/>
      <c r="F55" s="57"/>
      <c r="G55" s="57"/>
      <c r="H55" s="57"/>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row>
    <row r="56" spans="1:98" s="1" customFormat="1" x14ac:dyDescent="0.25">
      <c r="A56" s="29"/>
      <c r="C56" s="57"/>
      <c r="D56" s="57"/>
      <c r="E56" s="57"/>
      <c r="F56" s="57"/>
      <c r="G56" s="57"/>
      <c r="H56" s="57"/>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row>
    <row r="57" spans="1:98" s="1" customFormat="1" x14ac:dyDescent="0.25">
      <c r="A57" s="29"/>
      <c r="C57" s="57"/>
      <c r="D57" s="57"/>
      <c r="E57" s="57"/>
      <c r="F57" s="57"/>
      <c r="G57" s="57"/>
      <c r="H57" s="57"/>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row>
    <row r="58" spans="1:98" s="1" customFormat="1" x14ac:dyDescent="0.25">
      <c r="A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row>
    <row r="59" spans="1:98" s="29" customFormat="1" x14ac:dyDescent="0.25"/>
    <row r="60" spans="1:98" s="26" customFormat="1" x14ac:dyDescent="0.25"/>
    <row r="61" spans="1:98" s="26" customFormat="1" x14ac:dyDescent="0.25"/>
    <row r="62" spans="1:98" s="26" customFormat="1" x14ac:dyDescent="0.25"/>
    <row r="63" spans="1:98" s="26" customFormat="1" x14ac:dyDescent="0.25"/>
    <row r="64" spans="1:98" s="26" customFormat="1" x14ac:dyDescent="0.25"/>
    <row r="65" s="26" customFormat="1" x14ac:dyDescent="0.25"/>
    <row r="66" s="26" customFormat="1" x14ac:dyDescent="0.25"/>
    <row r="67" s="26" customFormat="1" x14ac:dyDescent="0.25"/>
    <row r="68" s="26" customFormat="1" x14ac:dyDescent="0.25"/>
    <row r="69" s="26" customFormat="1" x14ac:dyDescent="0.25"/>
    <row r="70" s="26" customFormat="1" x14ac:dyDescent="0.25"/>
    <row r="71" s="26" customFormat="1" x14ac:dyDescent="0.25"/>
    <row r="72" s="26" customFormat="1" x14ac:dyDescent="0.25"/>
    <row r="73" s="26" customFormat="1" x14ac:dyDescent="0.25"/>
    <row r="74" s="26" customFormat="1" x14ac:dyDescent="0.25"/>
    <row r="75" s="26" customFormat="1" x14ac:dyDescent="0.25"/>
    <row r="76" s="26" customFormat="1" x14ac:dyDescent="0.25"/>
    <row r="77" s="26" customFormat="1" x14ac:dyDescent="0.25"/>
    <row r="78" s="26" customFormat="1" x14ac:dyDescent="0.25"/>
    <row r="79" s="26" customFormat="1" x14ac:dyDescent="0.25"/>
    <row r="80" s="26" customFormat="1" x14ac:dyDescent="0.25"/>
    <row r="81" s="26" customFormat="1" x14ac:dyDescent="0.25"/>
    <row r="82" s="26" customFormat="1" x14ac:dyDescent="0.25"/>
    <row r="83" s="26" customFormat="1" x14ac:dyDescent="0.25"/>
    <row r="84" s="26" customFormat="1" x14ac:dyDescent="0.25"/>
    <row r="85" s="26" customFormat="1" x14ac:dyDescent="0.25"/>
    <row r="86" s="26" customFormat="1" x14ac:dyDescent="0.25"/>
    <row r="87" s="26" customFormat="1" x14ac:dyDescent="0.25"/>
    <row r="88" s="26" customFormat="1" x14ac:dyDescent="0.25"/>
    <row r="89" s="26" customFormat="1" x14ac:dyDescent="0.25"/>
    <row r="90" s="26" customFormat="1" x14ac:dyDescent="0.25"/>
    <row r="91" s="26" customFormat="1" x14ac:dyDescent="0.25"/>
    <row r="92" s="26" customFormat="1" x14ac:dyDescent="0.25"/>
    <row r="93" s="26" customFormat="1" x14ac:dyDescent="0.25"/>
    <row r="94" s="26" customFormat="1" x14ac:dyDescent="0.25"/>
    <row r="95" s="26" customFormat="1" x14ac:dyDescent="0.25"/>
    <row r="96" s="26" customFormat="1" x14ac:dyDescent="0.25"/>
    <row r="97" s="26" customFormat="1" x14ac:dyDescent="0.25"/>
    <row r="98" s="26" customFormat="1" x14ac:dyDescent="0.25"/>
    <row r="99" s="26" customFormat="1" x14ac:dyDescent="0.25"/>
    <row r="100" s="26" customFormat="1" x14ac:dyDescent="0.25"/>
    <row r="101" s="26" customFormat="1" x14ac:dyDescent="0.25"/>
    <row r="102" s="26" customFormat="1" x14ac:dyDescent="0.25"/>
    <row r="103" s="26" customFormat="1" x14ac:dyDescent="0.25"/>
    <row r="104" s="26" customFormat="1" x14ac:dyDescent="0.25"/>
    <row r="105" s="26" customFormat="1" x14ac:dyDescent="0.25"/>
    <row r="106" s="26" customFormat="1" x14ac:dyDescent="0.25"/>
    <row r="107" s="26" customFormat="1" x14ac:dyDescent="0.25"/>
    <row r="108" s="26" customFormat="1" x14ac:dyDescent="0.25"/>
    <row r="109" s="26" customFormat="1" x14ac:dyDescent="0.25"/>
    <row r="110" s="26" customFormat="1" x14ac:dyDescent="0.25"/>
    <row r="111" s="26" customFormat="1" x14ac:dyDescent="0.25"/>
    <row r="112" s="26" customFormat="1" x14ac:dyDescent="0.25"/>
    <row r="113" s="26" customFormat="1" x14ac:dyDescent="0.25"/>
    <row r="114" s="26" customFormat="1" x14ac:dyDescent="0.25"/>
    <row r="115" s="26" customFormat="1" x14ac:dyDescent="0.25"/>
    <row r="116" s="26" customFormat="1" x14ac:dyDescent="0.25"/>
    <row r="117" s="26" customFormat="1" x14ac:dyDescent="0.25"/>
    <row r="118" s="26" customFormat="1" x14ac:dyDescent="0.25"/>
    <row r="119" s="26" customFormat="1" x14ac:dyDescent="0.25"/>
    <row r="120" s="26" customFormat="1" x14ac:dyDescent="0.25"/>
    <row r="121" s="26" customFormat="1" x14ac:dyDescent="0.25"/>
    <row r="122" s="26" customFormat="1" x14ac:dyDescent="0.25"/>
    <row r="123" s="26" customFormat="1" x14ac:dyDescent="0.25"/>
    <row r="124" s="26" customFormat="1" x14ac:dyDescent="0.25"/>
    <row r="125" s="26" customFormat="1" x14ac:dyDescent="0.25"/>
    <row r="126" s="26" customFormat="1" x14ac:dyDescent="0.25"/>
    <row r="127" s="26" customFormat="1" x14ac:dyDescent="0.25"/>
    <row r="128" s="26" customFormat="1" x14ac:dyDescent="0.25"/>
    <row r="129" s="26" customFormat="1" x14ac:dyDescent="0.25"/>
    <row r="130" s="26" customFormat="1" x14ac:dyDescent="0.25"/>
    <row r="131" s="26" customFormat="1" x14ac:dyDescent="0.25"/>
    <row r="132" s="26" customFormat="1" x14ac:dyDescent="0.25"/>
    <row r="133" s="26" customFormat="1" x14ac:dyDescent="0.25"/>
    <row r="134" s="26" customFormat="1" x14ac:dyDescent="0.25"/>
    <row r="135" s="26" customFormat="1" x14ac:dyDescent="0.25"/>
    <row r="136" s="26" customFormat="1" x14ac:dyDescent="0.25"/>
    <row r="137" s="26" customFormat="1" x14ac:dyDescent="0.25"/>
    <row r="138" s="26" customFormat="1" x14ac:dyDescent="0.25"/>
    <row r="139" s="26" customFormat="1" x14ac:dyDescent="0.25"/>
    <row r="140" s="26" customFormat="1" x14ac:dyDescent="0.25"/>
    <row r="141" s="26" customFormat="1" x14ac:dyDescent="0.25"/>
    <row r="142" s="26" customFormat="1" x14ac:dyDescent="0.25"/>
    <row r="143" s="26" customFormat="1" x14ac:dyDescent="0.25"/>
    <row r="144" s="26" customFormat="1" x14ac:dyDescent="0.25"/>
    <row r="145" s="26" customFormat="1" x14ac:dyDescent="0.25"/>
    <row r="146" s="26" customFormat="1" x14ac:dyDescent="0.25"/>
    <row r="147" s="26" customFormat="1" x14ac:dyDescent="0.25"/>
    <row r="148" s="26" customFormat="1" x14ac:dyDescent="0.25"/>
    <row r="149" s="26" customFormat="1" x14ac:dyDescent="0.25"/>
    <row r="150" s="26" customFormat="1" x14ac:dyDescent="0.25"/>
    <row r="151" s="26" customFormat="1" x14ac:dyDescent="0.25"/>
    <row r="152" s="26" customFormat="1" x14ac:dyDescent="0.25"/>
    <row r="153" s="26" customFormat="1" x14ac:dyDescent="0.25"/>
    <row r="154" s="26" customFormat="1" x14ac:dyDescent="0.25"/>
    <row r="155" s="26" customFormat="1" x14ac:dyDescent="0.25"/>
    <row r="156" s="26" customFormat="1" x14ac:dyDescent="0.25"/>
    <row r="157" s="26" customFormat="1" x14ac:dyDescent="0.25"/>
    <row r="158" s="26" customFormat="1" x14ac:dyDescent="0.25"/>
    <row r="159" s="26" customFormat="1" x14ac:dyDescent="0.25"/>
    <row r="160" s="26" customFormat="1" x14ac:dyDescent="0.25"/>
    <row r="161" s="26" customFormat="1" x14ac:dyDescent="0.25"/>
    <row r="162" s="26" customFormat="1" x14ac:dyDescent="0.25"/>
    <row r="163" s="26" customFormat="1" x14ac:dyDescent="0.25"/>
    <row r="164" s="26" customFormat="1" x14ac:dyDescent="0.25"/>
    <row r="165" s="26" customFormat="1" x14ac:dyDescent="0.25"/>
    <row r="166" s="26" customFormat="1" x14ac:dyDescent="0.25"/>
    <row r="167" s="26" customFormat="1" x14ac:dyDescent="0.25"/>
    <row r="168" s="26" customFormat="1" x14ac:dyDescent="0.25"/>
    <row r="169" s="26" customFormat="1" x14ac:dyDescent="0.25"/>
    <row r="170" s="26" customFormat="1" x14ac:dyDescent="0.25"/>
    <row r="171" s="26" customFormat="1" x14ac:dyDescent="0.25"/>
    <row r="172" s="26" customFormat="1" x14ac:dyDescent="0.25"/>
    <row r="173" s="26" customFormat="1" x14ac:dyDescent="0.25"/>
    <row r="174" s="26" customFormat="1" x14ac:dyDescent="0.25"/>
    <row r="175" s="26" customFormat="1" x14ac:dyDescent="0.25"/>
    <row r="176" s="26" customFormat="1" x14ac:dyDescent="0.25"/>
    <row r="177" s="26" customFormat="1" x14ac:dyDescent="0.25"/>
    <row r="178" s="26" customFormat="1" x14ac:dyDescent="0.25"/>
    <row r="179" s="26" customFormat="1" x14ac:dyDescent="0.25"/>
    <row r="180" s="26" customFormat="1" x14ac:dyDescent="0.25"/>
    <row r="181" s="26" customFormat="1" x14ac:dyDescent="0.25"/>
    <row r="182" s="26" customFormat="1" x14ac:dyDescent="0.25"/>
    <row r="183" s="26" customFormat="1" x14ac:dyDescent="0.25"/>
    <row r="184" s="26" customFormat="1" x14ac:dyDescent="0.25"/>
    <row r="185" s="26" customFormat="1" x14ac:dyDescent="0.25"/>
    <row r="186" s="26" customFormat="1" x14ac:dyDescent="0.25"/>
    <row r="187" s="26" customFormat="1" x14ac:dyDescent="0.25"/>
    <row r="188" s="26" customFormat="1" x14ac:dyDescent="0.25"/>
    <row r="189" s="26" customFormat="1" x14ac:dyDescent="0.25"/>
    <row r="190" s="26" customFormat="1" x14ac:dyDescent="0.25"/>
    <row r="191" s="26" customFormat="1" x14ac:dyDescent="0.25"/>
    <row r="192" s="26" customFormat="1" x14ac:dyDescent="0.25"/>
    <row r="193" s="26" customFormat="1" x14ac:dyDescent="0.25"/>
    <row r="194" s="26" customFormat="1" x14ac:dyDescent="0.25"/>
    <row r="195" s="26" customFormat="1" x14ac:dyDescent="0.25"/>
    <row r="196" s="26" customFormat="1" x14ac:dyDescent="0.25"/>
    <row r="197" s="26" customFormat="1" x14ac:dyDescent="0.25"/>
    <row r="198" s="26" customFormat="1" x14ac:dyDescent="0.25"/>
    <row r="199" s="26" customFormat="1" x14ac:dyDescent="0.25"/>
    <row r="200" s="26" customFormat="1" x14ac:dyDescent="0.25"/>
    <row r="201" s="26" customFormat="1" x14ac:dyDescent="0.25"/>
    <row r="202" s="26" customFormat="1" x14ac:dyDescent="0.25"/>
    <row r="203" s="26" customFormat="1" x14ac:dyDescent="0.25"/>
    <row r="204" s="26" customFormat="1" x14ac:dyDescent="0.25"/>
    <row r="205" s="26" customFormat="1" x14ac:dyDescent="0.25"/>
    <row r="206" s="26" customFormat="1" x14ac:dyDescent="0.25"/>
    <row r="207" s="26" customFormat="1" x14ac:dyDescent="0.25"/>
    <row r="208" s="26" customFormat="1" x14ac:dyDescent="0.25"/>
    <row r="209" s="26" customFormat="1" x14ac:dyDescent="0.25"/>
    <row r="210" s="26" customFormat="1" x14ac:dyDescent="0.25"/>
    <row r="211" s="26" customFormat="1" x14ac:dyDescent="0.25"/>
    <row r="212" s="26" customFormat="1" x14ac:dyDescent="0.25"/>
    <row r="213" s="26" customFormat="1" x14ac:dyDescent="0.25"/>
    <row r="214" s="26" customFormat="1" x14ac:dyDescent="0.25"/>
    <row r="215" s="26" customFormat="1" x14ac:dyDescent="0.25"/>
    <row r="216" s="26" customFormat="1" x14ac:dyDescent="0.25"/>
    <row r="217" s="26" customFormat="1" x14ac:dyDescent="0.25"/>
    <row r="218" s="26" customForma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row r="546" s="26" customFormat="1" x14ac:dyDescent="0.25"/>
    <row r="547" s="26" customFormat="1" x14ac:dyDescent="0.25"/>
    <row r="548" s="26" customFormat="1" x14ac:dyDescent="0.25"/>
    <row r="549" s="26" customFormat="1" x14ac:dyDescent="0.25"/>
    <row r="550" s="26" customFormat="1" x14ac:dyDescent="0.25"/>
    <row r="551" s="26" customFormat="1" x14ac:dyDescent="0.25"/>
    <row r="552" s="26" customFormat="1" x14ac:dyDescent="0.25"/>
    <row r="553" s="26" customFormat="1" x14ac:dyDescent="0.25"/>
    <row r="554" s="26" customFormat="1" x14ac:dyDescent="0.25"/>
    <row r="555" s="26" customFormat="1" x14ac:dyDescent="0.25"/>
    <row r="556" s="26" customFormat="1" x14ac:dyDescent="0.25"/>
    <row r="557" s="26" customFormat="1" x14ac:dyDescent="0.25"/>
    <row r="558" s="26" customFormat="1" x14ac:dyDescent="0.25"/>
    <row r="559" s="26" customFormat="1" x14ac:dyDescent="0.25"/>
    <row r="560" s="26" customFormat="1" x14ac:dyDescent="0.25"/>
    <row r="561" s="26" customFormat="1" x14ac:dyDescent="0.25"/>
    <row r="562" s="26" customFormat="1" x14ac:dyDescent="0.25"/>
    <row r="563" s="26" customFormat="1" x14ac:dyDescent="0.25"/>
    <row r="564" s="26" customFormat="1" x14ac:dyDescent="0.25"/>
    <row r="565" s="26" customFormat="1" x14ac:dyDescent="0.25"/>
    <row r="566" s="26" customFormat="1" x14ac:dyDescent="0.25"/>
    <row r="567" s="26" customFormat="1" x14ac:dyDescent="0.25"/>
    <row r="568" s="26" customFormat="1" x14ac:dyDescent="0.25"/>
    <row r="569" s="26" customFormat="1" x14ac:dyDescent="0.25"/>
    <row r="570" s="26" customFormat="1" x14ac:dyDescent="0.25"/>
    <row r="571" s="26" customFormat="1" x14ac:dyDescent="0.25"/>
    <row r="572" s="26" customFormat="1" x14ac:dyDescent="0.25"/>
    <row r="573" s="26" customFormat="1" x14ac:dyDescent="0.25"/>
    <row r="574" s="26" customFormat="1" x14ac:dyDescent="0.25"/>
    <row r="575" s="26" customFormat="1" x14ac:dyDescent="0.25"/>
    <row r="576" s="26" customFormat="1" x14ac:dyDescent="0.25"/>
    <row r="577" s="26" customFormat="1" x14ac:dyDescent="0.25"/>
    <row r="578" s="26" customFormat="1" x14ac:dyDescent="0.25"/>
    <row r="579" s="26" customFormat="1" x14ac:dyDescent="0.25"/>
    <row r="580" s="26" customFormat="1" x14ac:dyDescent="0.25"/>
    <row r="581" s="26" customFormat="1" x14ac:dyDescent="0.25"/>
    <row r="582" s="26" customFormat="1" x14ac:dyDescent="0.25"/>
    <row r="583" s="26" customFormat="1" x14ac:dyDescent="0.25"/>
    <row r="584" s="26" customFormat="1" x14ac:dyDescent="0.25"/>
    <row r="585" s="26" customFormat="1" x14ac:dyDescent="0.25"/>
    <row r="586" s="26" customFormat="1" x14ac:dyDescent="0.25"/>
    <row r="587" s="26" customFormat="1" x14ac:dyDescent="0.25"/>
    <row r="588" s="26" customFormat="1" x14ac:dyDescent="0.25"/>
    <row r="589" s="26" customFormat="1" x14ac:dyDescent="0.25"/>
    <row r="590" s="26" customFormat="1" x14ac:dyDescent="0.25"/>
    <row r="591" s="26" customFormat="1" x14ac:dyDescent="0.25"/>
    <row r="592" s="26" customFormat="1" x14ac:dyDescent="0.25"/>
    <row r="593" s="26" customFormat="1" x14ac:dyDescent="0.25"/>
    <row r="594" s="26" customFormat="1" x14ac:dyDescent="0.25"/>
    <row r="595" s="26" customFormat="1" x14ac:dyDescent="0.25"/>
    <row r="596" s="26" customFormat="1" x14ac:dyDescent="0.25"/>
    <row r="597" s="26" customFormat="1" x14ac:dyDescent="0.25"/>
    <row r="598" s="26" customFormat="1" x14ac:dyDescent="0.25"/>
    <row r="599" s="26" customFormat="1" x14ac:dyDescent="0.25"/>
    <row r="600" s="26" customFormat="1" x14ac:dyDescent="0.25"/>
    <row r="601" s="26" customFormat="1" x14ac:dyDescent="0.25"/>
    <row r="602" s="26" customFormat="1" x14ac:dyDescent="0.25"/>
    <row r="603" s="26" customFormat="1" x14ac:dyDescent="0.25"/>
    <row r="604" s="26" customFormat="1" x14ac:dyDescent="0.25"/>
    <row r="605" s="26" customFormat="1" x14ac:dyDescent="0.25"/>
    <row r="606" s="26" customFormat="1" x14ac:dyDescent="0.25"/>
    <row r="607" s="26" customFormat="1" x14ac:dyDescent="0.25"/>
    <row r="608" s="26" customFormat="1" x14ac:dyDescent="0.25"/>
    <row r="609" s="26" customFormat="1" x14ac:dyDescent="0.25"/>
    <row r="610" s="26" customFormat="1" x14ac:dyDescent="0.25"/>
    <row r="611" s="26" customFormat="1" x14ac:dyDescent="0.25"/>
    <row r="612" s="26" customFormat="1" x14ac:dyDescent="0.25"/>
    <row r="613" s="26" customFormat="1" x14ac:dyDescent="0.25"/>
    <row r="614" s="26" customFormat="1" x14ac:dyDescent="0.25"/>
    <row r="615" s="26" customFormat="1" x14ac:dyDescent="0.25"/>
    <row r="616" s="26" customFormat="1" x14ac:dyDescent="0.25"/>
    <row r="617" s="26" customFormat="1" x14ac:dyDescent="0.25"/>
    <row r="618" s="26" customFormat="1" x14ac:dyDescent="0.25"/>
    <row r="619" s="26" customFormat="1" x14ac:dyDescent="0.25"/>
    <row r="620" s="26" customFormat="1" x14ac:dyDescent="0.25"/>
    <row r="621" s="26" customFormat="1" x14ac:dyDescent="0.25"/>
    <row r="622" s="26" customFormat="1" x14ac:dyDescent="0.25"/>
    <row r="623" s="26" customFormat="1" x14ac:dyDescent="0.25"/>
    <row r="624" s="26" customFormat="1" x14ac:dyDescent="0.25"/>
    <row r="625" s="26" customFormat="1" x14ac:dyDescent="0.25"/>
    <row r="626" s="26" customFormat="1" x14ac:dyDescent="0.25"/>
    <row r="627" s="26" customFormat="1" x14ac:dyDescent="0.25"/>
    <row r="628" s="26" customFormat="1" x14ac:dyDescent="0.25"/>
    <row r="629" s="26" customFormat="1" x14ac:dyDescent="0.25"/>
    <row r="630" s="26" customFormat="1" x14ac:dyDescent="0.25"/>
    <row r="631" s="26" customFormat="1" x14ac:dyDescent="0.25"/>
    <row r="632" s="26" customFormat="1" x14ac:dyDescent="0.25"/>
    <row r="633" s="26" customFormat="1" x14ac:dyDescent="0.25"/>
    <row r="634" s="26" customFormat="1" x14ac:dyDescent="0.25"/>
    <row r="635" s="26" customFormat="1" x14ac:dyDescent="0.25"/>
    <row r="636" s="26" customFormat="1" x14ac:dyDescent="0.25"/>
    <row r="637" s="26" customFormat="1" x14ac:dyDescent="0.25"/>
    <row r="638" s="26" customFormat="1" x14ac:dyDescent="0.25"/>
    <row r="639" s="26" customFormat="1" x14ac:dyDescent="0.25"/>
    <row r="640" s="26" customFormat="1" x14ac:dyDescent="0.25"/>
    <row r="641" s="26" customFormat="1" x14ac:dyDescent="0.25"/>
    <row r="642" s="26" customFormat="1" x14ac:dyDescent="0.25"/>
    <row r="643" s="26" customFormat="1" x14ac:dyDescent="0.25"/>
    <row r="644" s="26" customFormat="1" x14ac:dyDescent="0.25"/>
    <row r="645" s="26" customFormat="1" x14ac:dyDescent="0.25"/>
    <row r="646" s="26" customFormat="1" x14ac:dyDescent="0.25"/>
    <row r="647" s="26" customFormat="1" x14ac:dyDescent="0.25"/>
    <row r="648" s="26" customFormat="1" x14ac:dyDescent="0.25"/>
    <row r="649" s="26" customFormat="1" x14ac:dyDescent="0.25"/>
    <row r="650" s="26" customFormat="1" x14ac:dyDescent="0.25"/>
    <row r="651" s="26" customFormat="1" x14ac:dyDescent="0.25"/>
    <row r="652" s="26" customFormat="1" x14ac:dyDescent="0.25"/>
    <row r="653" s="26" customFormat="1" x14ac:dyDescent="0.25"/>
    <row r="654" s="26" customFormat="1" x14ac:dyDescent="0.25"/>
    <row r="655" s="26" customFormat="1" x14ac:dyDescent="0.25"/>
    <row r="656" s="26" customFormat="1" x14ac:dyDescent="0.25"/>
    <row r="657" s="26" customFormat="1" x14ac:dyDescent="0.25"/>
    <row r="658" s="26" customFormat="1" x14ac:dyDescent="0.25"/>
    <row r="659" s="26" customFormat="1" x14ac:dyDescent="0.25"/>
    <row r="660" s="26" customFormat="1" x14ac:dyDescent="0.25"/>
    <row r="661" s="26" customFormat="1" x14ac:dyDescent="0.25"/>
    <row r="662" s="26" customFormat="1" x14ac:dyDescent="0.25"/>
    <row r="663" s="26" customFormat="1" x14ac:dyDescent="0.25"/>
    <row r="664" s="26" customFormat="1" x14ac:dyDescent="0.25"/>
    <row r="665" s="26" customFormat="1" x14ac:dyDescent="0.25"/>
    <row r="666" s="26" customFormat="1" x14ac:dyDescent="0.25"/>
    <row r="667" s="26" customFormat="1" x14ac:dyDescent="0.25"/>
    <row r="668" s="26" customFormat="1" x14ac:dyDescent="0.25"/>
    <row r="669" s="26" customFormat="1" x14ac:dyDescent="0.25"/>
    <row r="670" s="26" customFormat="1" x14ac:dyDescent="0.25"/>
    <row r="671" s="26" customFormat="1" x14ac:dyDescent="0.25"/>
    <row r="672" s="26" customFormat="1" x14ac:dyDescent="0.25"/>
    <row r="673" s="26" customFormat="1" x14ac:dyDescent="0.25"/>
    <row r="674" s="26" customFormat="1" x14ac:dyDescent="0.25"/>
    <row r="675" s="26" customFormat="1" x14ac:dyDescent="0.25"/>
    <row r="676" s="26" customFormat="1" x14ac:dyDescent="0.25"/>
    <row r="677" s="26" customFormat="1" x14ac:dyDescent="0.25"/>
    <row r="678" s="26" customFormat="1" x14ac:dyDescent="0.25"/>
    <row r="679" s="26" customFormat="1" x14ac:dyDescent="0.25"/>
    <row r="680" s="26" customFormat="1" x14ac:dyDescent="0.25"/>
    <row r="681" s="26" customFormat="1" x14ac:dyDescent="0.25"/>
    <row r="682" s="26" customFormat="1" x14ac:dyDescent="0.25"/>
    <row r="683" s="26" customFormat="1" x14ac:dyDescent="0.25"/>
    <row r="684" s="26" customFormat="1" x14ac:dyDescent="0.25"/>
    <row r="685" s="26" customFormat="1" x14ac:dyDescent="0.25"/>
    <row r="686" s="26" customFormat="1" x14ac:dyDescent="0.25"/>
    <row r="687" s="26" customFormat="1" x14ac:dyDescent="0.25"/>
    <row r="688" s="26" customFormat="1" x14ac:dyDescent="0.25"/>
    <row r="689" s="26" customFormat="1" x14ac:dyDescent="0.25"/>
    <row r="690" s="26" customFormat="1" x14ac:dyDescent="0.25"/>
    <row r="691" s="26" customFormat="1" x14ac:dyDescent="0.25"/>
    <row r="692" s="26" customFormat="1" x14ac:dyDescent="0.25"/>
    <row r="693" s="26" customFormat="1" x14ac:dyDescent="0.25"/>
    <row r="694" s="26" customFormat="1" x14ac:dyDescent="0.25"/>
    <row r="695" s="26" customFormat="1" x14ac:dyDescent="0.25"/>
    <row r="696" s="26" customFormat="1" x14ac:dyDescent="0.25"/>
    <row r="697" s="26" customFormat="1" x14ac:dyDescent="0.25"/>
    <row r="698" s="26" customFormat="1" x14ac:dyDescent="0.25"/>
    <row r="699" s="26" customFormat="1" x14ac:dyDescent="0.25"/>
    <row r="700" s="26" customFormat="1" x14ac:dyDescent="0.25"/>
    <row r="701" s="26" customFormat="1" x14ac:dyDescent="0.25"/>
    <row r="702" s="26" customFormat="1" x14ac:dyDescent="0.25"/>
    <row r="703" s="26" customFormat="1" x14ac:dyDescent="0.25"/>
    <row r="704" s="26" customFormat="1" x14ac:dyDescent="0.25"/>
    <row r="705" s="26" customFormat="1" x14ac:dyDescent="0.25"/>
    <row r="706" s="26" customFormat="1" x14ac:dyDescent="0.25"/>
    <row r="707" s="26" customFormat="1" x14ac:dyDescent="0.25"/>
    <row r="708" s="26" customFormat="1" x14ac:dyDescent="0.25"/>
    <row r="709" s="26" customFormat="1" x14ac:dyDescent="0.25"/>
    <row r="710" s="26" customFormat="1" x14ac:dyDescent="0.25"/>
    <row r="711" s="26" customFormat="1" x14ac:dyDescent="0.25"/>
    <row r="712" s="26" customFormat="1" x14ac:dyDescent="0.25"/>
    <row r="713" s="26" customFormat="1" x14ac:dyDescent="0.25"/>
    <row r="714" s="26" customFormat="1" x14ac:dyDescent="0.25"/>
    <row r="715" s="26" customFormat="1" x14ac:dyDescent="0.25"/>
    <row r="716" s="26" customFormat="1" x14ac:dyDescent="0.25"/>
    <row r="717" s="26" customFormat="1" x14ac:dyDescent="0.25"/>
    <row r="718" s="26" customFormat="1" x14ac:dyDescent="0.25"/>
    <row r="719" s="26" customFormat="1" x14ac:dyDescent="0.25"/>
    <row r="720" s="26" customFormat="1" x14ac:dyDescent="0.25"/>
    <row r="721" s="26" customFormat="1" x14ac:dyDescent="0.25"/>
    <row r="722" s="26" customFormat="1" x14ac:dyDescent="0.25"/>
    <row r="723" s="26" customFormat="1" x14ac:dyDescent="0.25"/>
    <row r="724" s="26" customFormat="1" x14ac:dyDescent="0.25"/>
    <row r="725" s="26" customFormat="1" x14ac:dyDescent="0.25"/>
    <row r="726" s="26" customFormat="1" x14ac:dyDescent="0.25"/>
    <row r="727" s="26" customFormat="1" x14ac:dyDescent="0.25"/>
    <row r="728" s="26" customFormat="1" x14ac:dyDescent="0.25"/>
    <row r="729" s="26" customFormat="1" x14ac:dyDescent="0.25"/>
    <row r="730" s="26" customFormat="1" x14ac:dyDescent="0.25"/>
    <row r="731" s="26" customFormat="1" x14ac:dyDescent="0.25"/>
    <row r="732" s="26" customFormat="1" x14ac:dyDescent="0.25"/>
    <row r="733" s="26" customFormat="1" x14ac:dyDescent="0.25"/>
    <row r="734" s="26" customFormat="1" x14ac:dyDescent="0.25"/>
    <row r="735" s="26" customFormat="1" x14ac:dyDescent="0.25"/>
    <row r="736" s="26" customFormat="1" x14ac:dyDescent="0.25"/>
    <row r="737" s="26" customFormat="1" x14ac:dyDescent="0.25"/>
    <row r="738" s="26" customFormat="1" x14ac:dyDescent="0.25"/>
    <row r="739" s="26" customFormat="1" x14ac:dyDescent="0.25"/>
    <row r="740" s="26" customFormat="1" x14ac:dyDescent="0.25"/>
    <row r="741" s="26" customFormat="1" x14ac:dyDescent="0.25"/>
    <row r="742" s="26" customFormat="1" x14ac:dyDescent="0.25"/>
    <row r="743" s="26" customFormat="1" x14ac:dyDescent="0.25"/>
    <row r="744" s="26" customFormat="1" x14ac:dyDescent="0.25"/>
    <row r="745" s="26" customFormat="1" x14ac:dyDescent="0.25"/>
    <row r="746" s="26" customFormat="1" x14ac:dyDescent="0.25"/>
    <row r="747" s="26" customFormat="1" x14ac:dyDescent="0.25"/>
    <row r="748" s="26" customFormat="1" x14ac:dyDescent="0.25"/>
    <row r="749" s="26"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sheetData>
  <mergeCells count="5">
    <mergeCell ref="C7:E7"/>
    <mergeCell ref="C16:E16"/>
    <mergeCell ref="C46:E46"/>
    <mergeCell ref="C51:D51"/>
    <mergeCell ref="C53:H5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87D04178741B4B95C5E82970657CB3" ma:contentTypeVersion="11" ma:contentTypeDescription="Create a new document." ma:contentTypeScope="" ma:versionID="742bd46dd8160dc5e1ac817bfaced7ba">
  <xsd:schema xmlns:xsd="http://www.w3.org/2001/XMLSchema" xmlns:xs="http://www.w3.org/2001/XMLSchema" xmlns:p="http://schemas.microsoft.com/office/2006/metadata/properties" xmlns:ns2="a76c5c41-b3e4-4837-82c3-5f60d14fa20a" xmlns:ns3="7b5fdae0-d914-46a5-a9be-7506d74a8c92" targetNamespace="http://schemas.microsoft.com/office/2006/metadata/properties" ma:root="true" ma:fieldsID="e4e412ffa3a521251f1d123de88ebe28" ns2:_="" ns3:_="">
    <xsd:import namespace="a76c5c41-b3e4-4837-82c3-5f60d14fa20a"/>
    <xsd:import namespace="7b5fdae0-d914-46a5-a9be-7506d74a8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6c5c41-b3e4-4837-82c3-5f60d14fa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9d7700-8801-4e65-905e-5029f7d3d66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fdae0-d914-46a5-a9be-7506d74a8c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d6a414-f276-4d1f-9bf7-0cbacd0ab607}" ma:internalName="TaxCatchAll" ma:showField="CatchAllData" ma:web="7b5fdae0-d914-46a5-a9be-7506d74a8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6c5c41-b3e4-4837-82c3-5f60d14fa20a">
      <Terms xmlns="http://schemas.microsoft.com/office/infopath/2007/PartnerControls"/>
    </lcf76f155ced4ddcb4097134ff3c332f>
    <TaxCatchAll xmlns="7b5fdae0-d914-46a5-a9be-7506d74a8c92" xsi:nil="true"/>
  </documentManagement>
</p:properties>
</file>

<file path=customXml/itemProps1.xml><?xml version="1.0" encoding="utf-8"?>
<ds:datastoreItem xmlns:ds="http://schemas.openxmlformats.org/officeDocument/2006/customXml" ds:itemID="{6295F3DB-0E94-427E-BFCC-62BA036696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6c5c41-b3e4-4837-82c3-5f60d14fa20a"/>
    <ds:schemaRef ds:uri="7b5fdae0-d914-46a5-a9be-7506d74a8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041067-6644-479A-B573-2EE5BB9C0736}">
  <ds:schemaRefs>
    <ds:schemaRef ds:uri="http://schemas.microsoft.com/sharepoint/v3/contenttype/forms"/>
  </ds:schemaRefs>
</ds:datastoreItem>
</file>

<file path=customXml/itemProps3.xml><?xml version="1.0" encoding="utf-8"?>
<ds:datastoreItem xmlns:ds="http://schemas.openxmlformats.org/officeDocument/2006/customXml" ds:itemID="{9824C48E-DD11-4C3F-9D85-89D3FDD7CC98}">
  <ds:schemaRefs>
    <ds:schemaRef ds:uri="http://schemas.microsoft.com/office/2006/metadata/properties"/>
    <ds:schemaRef ds:uri="http://schemas.microsoft.com/office/infopath/2007/PartnerControls"/>
    <ds:schemaRef ds:uri="a76c5c41-b3e4-4837-82c3-5f60d14fa20a"/>
    <ds:schemaRef ds:uri="7b5fdae0-d914-46a5-a9be-7506d74a8c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Multi-step</vt:lpstr>
      <vt:lpstr>Example - Multi-step</vt:lpstr>
      <vt:lpstr>Single-step</vt:lpstr>
      <vt:lpstr>Example - Single-step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walsh</dc:creator>
  <cp:lastModifiedBy>Amadou Mouctar Sow</cp:lastModifiedBy>
  <dcterms:created xsi:type="dcterms:W3CDTF">2024-05-10T10:18:47Z</dcterms:created>
  <dcterms:modified xsi:type="dcterms:W3CDTF">2025-06-14T21:53:05Z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0x010100AE87D04178741B4B95C5E82970657CB3</vt:lpwstr>
  </property>
</Properties>
</file>